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 c e r\Downloads\"/>
    </mc:Choice>
  </mc:AlternateContent>
  <xr:revisionPtr revIDLastSave="0" documentId="13_ncr:1_{E8F8E014-9E4D-4485-8307-D78B328DF97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2" sheetId="6" r:id="rId1"/>
    <sheet name="HANDSON" sheetId="7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7" l="1"/>
  <c r="Q5" i="7"/>
  <c r="I2" i="7"/>
  <c r="H2" i="7"/>
  <c r="K2" i="7"/>
  <c r="J2" i="7"/>
  <c r="B12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2" i="7"/>
  <c r="N2" i="7" l="1"/>
  <c r="P3" i="7" s="1"/>
  <c r="M2" i="7"/>
  <c r="Q3" i="7"/>
  <c r="L2" i="7"/>
  <c r="R3" i="7" l="1"/>
</calcChain>
</file>

<file path=xl/sharedStrings.xml><?xml version="1.0" encoding="utf-8"?>
<sst xmlns="http://schemas.openxmlformats.org/spreadsheetml/2006/main" count="2414" uniqueCount="1720">
  <si>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</si>
  <si>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</si>
  <si>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</si>
  <si>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</si>
  <si>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</si>
  <si>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</si>
  <si>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</si>
  <si>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</si>
  <si>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</si>
  <si>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</si>
  <si>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</si>
  <si>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</si>
  <si>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</si>
  <si>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</si>
  <si>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</si>
  <si>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</si>
  <si>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</si>
  <si>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</si>
  <si>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</si>
  <si>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</si>
  <si>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</si>
  <si>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</si>
  <si>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</si>
  <si>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</si>
  <si>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</si>
  <si>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</si>
  <si>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</si>
  <si>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</si>
  <si>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</si>
  <si>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</si>
  <si>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</si>
  <si>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</si>
  <si>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</si>
  <si>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</si>
  <si>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</si>
  <si>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</si>
  <si>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</si>
  <si>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</si>
  <si>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</si>
  <si>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</si>
  <si>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</si>
  <si>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</si>
  <si>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</si>
  <si>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</si>
  <si>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</si>
  <si>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</si>
  <si>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</si>
  <si>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</si>
  <si>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</si>
  <si>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</si>
  <si>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</si>
  <si>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</si>
  <si>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</si>
  <si>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</si>
  <si>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</si>
  <si>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</si>
  <si>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</si>
  <si>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</si>
  <si>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</si>
  <si>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</si>
  <si>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</si>
  <si>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</si>
  <si>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</si>
  <si>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</si>
  <si>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</si>
  <si>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</si>
  <si>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</si>
  <si>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</si>
  <si>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</si>
  <si>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</si>
  <si>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</si>
  <si>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</si>
  <si>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</si>
  <si>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</si>
  <si>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</si>
  <si>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</si>
  <si>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</si>
  <si>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</si>
  <si>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</si>
  <si>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</si>
  <si>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</si>
  <si>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</si>
  <si>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</si>
  <si>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</si>
  <si>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</si>
  <si>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</si>
  <si>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</si>
  <si>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</si>
  <si>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</si>
  <si>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</si>
  <si>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</si>
  <si>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</si>
  <si>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</si>
  <si>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</si>
  <si>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</si>
  <si>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</si>
  <si>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</si>
  <si>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</si>
  <si>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</si>
  <si>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</si>
  <si>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</si>
  <si>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</si>
  <si>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</si>
  <si>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</si>
  <si>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</si>
  <si>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</si>
  <si>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</si>
  <si>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</si>
  <si>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</si>
  <si>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</si>
  <si>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</si>
  <si>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</si>
  <si>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</si>
  <si>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</si>
  <si>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</si>
  <si>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</si>
  <si>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</si>
  <si>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</si>
  <si>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</si>
  <si>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</si>
  <si>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</si>
  <si>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</si>
  <si>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</si>
  <si>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</si>
  <si>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</si>
  <si>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</si>
  <si>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</si>
  <si>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</si>
  <si>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</si>
  <si>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</si>
  <si>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</si>
  <si>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</si>
  <si>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</si>
  <si>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</si>
  <si>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</si>
  <si>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</si>
  <si>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</si>
  <si>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</si>
  <si>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</si>
  <si>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</si>
  <si>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</si>
  <si>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</si>
  <si>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</si>
  <si>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</si>
  <si>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</si>
  <si>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</si>
  <si>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</si>
  <si>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</si>
  <si>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</si>
  <si>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</si>
  <si>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</si>
  <si>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</si>
  <si>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</si>
  <si>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</si>
  <si>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</si>
  <si>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</si>
  <si>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</si>
  <si>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</si>
  <si>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</si>
  <si>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</si>
  <si>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</si>
  <si>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</si>
  <si>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</si>
  <si>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</si>
  <si>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</si>
  <si>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</si>
  <si>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</si>
  <si>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</si>
  <si>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</si>
  <si>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</si>
  <si>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</si>
  <si>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</si>
  <si>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</si>
  <si>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</si>
  <si>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</si>
  <si>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</si>
  <si>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</si>
  <si>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</si>
  <si>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</si>
  <si>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</si>
  <si>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</si>
  <si>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</si>
  <si>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</si>
  <si>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</si>
  <si>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</si>
  <si>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</si>
  <si>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</si>
  <si>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</si>
  <si>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</si>
  <si>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</si>
  <si>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</si>
  <si>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</si>
  <si>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</si>
  <si>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</si>
  <si>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</si>
  <si>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</si>
  <si>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</si>
  <si>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</si>
  <si>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</si>
  <si>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</si>
  <si>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</si>
  <si>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</si>
  <si>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</si>
  <si>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</si>
  <si>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</si>
  <si>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</si>
  <si>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</si>
  <si>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</si>
  <si>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</si>
  <si>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</si>
  <si>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</si>
  <si>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</si>
  <si>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</si>
  <si>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</si>
  <si>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</si>
  <si>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</si>
  <si>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</si>
  <si>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</si>
  <si>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</si>
  <si>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</si>
  <si>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</si>
  <si>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</si>
  <si>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</si>
  <si>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</si>
  <si>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</si>
  <si>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</si>
  <si>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</si>
  <si>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</si>
  <si>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</si>
  <si>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</si>
  <si>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</si>
  <si>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</si>
  <si>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</si>
  <si>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</si>
  <si>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</si>
  <si>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</si>
  <si>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</si>
  <si>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</si>
  <si>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</si>
  <si>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</si>
  <si>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</si>
  <si>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</si>
  <si>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</si>
  <si>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</si>
  <si>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</si>
  <si>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</si>
  <si>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</si>
  <si>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</si>
  <si>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</si>
  <si>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</si>
  <si>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</si>
  <si>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</si>
  <si>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</si>
  <si>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</si>
  <si>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</si>
  <si>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</si>
  <si>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</si>
  <si>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</si>
  <si>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</si>
  <si>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</si>
  <si>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</si>
  <si>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</si>
  <si>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</si>
  <si>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</si>
  <si>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</si>
  <si>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</si>
  <si>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</si>
  <si>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</si>
  <si>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</si>
  <si>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</si>
  <si>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</si>
  <si>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</si>
  <si>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</si>
  <si>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</si>
  <si>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</si>
  <si>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</si>
  <si>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</si>
  <si>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</si>
  <si>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</si>
  <si>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</si>
  <si>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</si>
  <si>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</si>
  <si>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</si>
  <si>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</si>
  <si>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</si>
  <si>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</si>
  <si>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</si>
  <si>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</si>
  <si>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</si>
  <si>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</si>
  <si>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</si>
  <si>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</si>
  <si>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</si>
  <si>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</si>
  <si>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</si>
  <si>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</si>
  <si>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</si>
  <si>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</si>
  <si>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</si>
  <si>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</si>
  <si>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</si>
  <si>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</si>
  <si>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</si>
  <si>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</si>
  <si>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</si>
  <si>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</si>
  <si>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</si>
  <si>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</si>
  <si>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</si>
  <si>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</si>
  <si>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</si>
  <si>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</si>
  <si>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</si>
  <si>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</si>
  <si>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</si>
  <si>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</si>
  <si>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</si>
  <si>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</si>
  <si>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</si>
  <si>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</si>
  <si>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</si>
  <si>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</si>
  <si>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</si>
  <si>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</si>
  <si>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</si>
  <si>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</si>
  <si>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</si>
  <si>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</si>
  <si>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</si>
  <si>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</si>
  <si>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</si>
  <si>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</si>
  <si>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</si>
  <si>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</si>
  <si>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</si>
  <si>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</si>
  <si>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</si>
  <si>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</si>
  <si>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</si>
  <si>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</si>
  <si>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</si>
  <si>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</si>
  <si>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</si>
  <si>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</si>
  <si>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</si>
  <si>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</si>
  <si>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</si>
  <si>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</si>
  <si>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</si>
  <si>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</si>
  <si>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</si>
  <si>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</si>
  <si>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</si>
  <si>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</si>
  <si>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</si>
  <si>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</si>
  <si>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</si>
  <si>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</si>
  <si>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</si>
  <si>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</si>
  <si>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</si>
  <si>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</si>
  <si>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</si>
  <si>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</si>
  <si>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</si>
  <si>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</si>
  <si>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</si>
  <si>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</si>
  <si>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</si>
  <si>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</si>
  <si>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</si>
  <si>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</si>
  <si>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</si>
  <si>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</si>
  <si>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</si>
  <si>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</si>
  <si>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</si>
  <si>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</si>
  <si>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</si>
  <si>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</si>
  <si>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</si>
  <si>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</si>
  <si>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</si>
  <si>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</si>
  <si>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</si>
  <si>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</si>
  <si>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</si>
  <si>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</si>
  <si>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</si>
  <si>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</si>
  <si>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</si>
  <si>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</si>
  <si>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</si>
  <si>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</si>
  <si>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</si>
  <si>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</si>
  <si>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</si>
  <si>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</si>
  <si>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</si>
  <si>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</si>
  <si>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</si>
  <si>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</si>
  <si>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</si>
  <si>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</si>
  <si>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</si>
  <si>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</si>
  <si>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</si>
  <si>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</si>
  <si>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</si>
  <si>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</si>
  <si>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</si>
  <si>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</si>
  <si>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</si>
  <si>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</si>
  <si>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</si>
  <si>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</si>
  <si>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</si>
  <si>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</si>
  <si>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</si>
  <si>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</si>
  <si>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</si>
  <si>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</si>
  <si>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</si>
  <si>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</si>
  <si>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</si>
  <si>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</si>
  <si>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</si>
  <si>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</si>
  <si>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</si>
  <si>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</si>
  <si>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</si>
  <si>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</si>
  <si>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</si>
  <si>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</si>
  <si>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</si>
  <si>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</si>
  <si>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</si>
  <si>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</si>
  <si>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</si>
  <si>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</si>
  <si>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</si>
  <si>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</si>
  <si>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</si>
  <si>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</si>
  <si>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</si>
  <si>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</si>
  <si>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</si>
  <si>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</si>
  <si>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</si>
  <si>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</si>
  <si>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</si>
  <si>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</si>
  <si>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</si>
  <si>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</si>
  <si>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</si>
  <si>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</si>
  <si>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</si>
  <si>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</si>
  <si>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</si>
  <si>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</si>
  <si>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</si>
  <si>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</si>
  <si>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</si>
  <si>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</si>
  <si>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</si>
  <si>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</si>
  <si>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</si>
  <si>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</si>
  <si>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</si>
  <si>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</si>
  <si>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</si>
  <si>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</si>
  <si>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</si>
  <si>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</si>
  <si>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</si>
  <si>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</si>
  <si>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</si>
  <si>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</si>
  <si>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</si>
  <si>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</si>
  <si>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</si>
  <si>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</si>
  <si>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</si>
  <si>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</si>
  <si>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</si>
  <si>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</si>
  <si>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</si>
  <si>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</si>
  <si>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</si>
  <si>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</si>
  <si>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</si>
  <si>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</si>
  <si>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</si>
  <si>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</si>
  <si>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</si>
  <si>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</si>
  <si>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</si>
  <si>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</si>
  <si>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</si>
  <si>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</si>
  <si>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</si>
  <si>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</si>
  <si>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</si>
  <si>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</si>
  <si>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</si>
  <si>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</si>
  <si>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</si>
  <si>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</si>
  <si>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</si>
  <si>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</si>
  <si>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</si>
  <si>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</si>
  <si>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</si>
  <si>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</si>
  <si>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</si>
  <si>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</si>
  <si>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</si>
  <si>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</si>
  <si>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</si>
  <si>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</si>
  <si>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</si>
  <si>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</si>
  <si>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</si>
  <si>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</si>
  <si>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</si>
  <si>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</si>
  <si>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</si>
  <si>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</si>
  <si>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</si>
  <si>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</si>
  <si>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</si>
  <si>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</si>
  <si>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</si>
  <si>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</si>
  <si>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</si>
  <si>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</si>
  <si>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</si>
  <si>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</si>
  <si>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</si>
  <si>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</si>
  <si>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</si>
  <si>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</si>
  <si>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</si>
  <si>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</si>
  <si>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</si>
  <si>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</si>
  <si>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</si>
  <si>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</si>
  <si>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</si>
  <si>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</si>
  <si>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</si>
  <si>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</si>
  <si>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</si>
  <si>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</si>
  <si>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</si>
  <si>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</si>
  <si>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</si>
  <si>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</si>
  <si>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</si>
  <si>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</si>
  <si>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</si>
  <si>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</si>
  <si>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</si>
  <si>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</si>
  <si>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</si>
  <si>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</si>
  <si>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</si>
  <si>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</si>
  <si>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</si>
  <si>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</si>
  <si>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</si>
  <si>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</si>
  <si>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</si>
  <si>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</si>
  <si>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</si>
  <si>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</si>
  <si>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</si>
  <si>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</si>
  <si>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</si>
  <si>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</si>
  <si>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</si>
  <si>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</si>
  <si>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</si>
  <si>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</si>
  <si>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</si>
  <si>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</si>
  <si>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</si>
  <si>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</si>
  <si>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</si>
  <si>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</si>
  <si>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</si>
  <si>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</si>
  <si>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</si>
  <si>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</si>
  <si>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</si>
  <si>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</si>
  <si>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</si>
  <si>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</si>
  <si>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</si>
  <si>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</si>
  <si>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</si>
  <si>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</si>
  <si>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</si>
  <si>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</si>
  <si>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</si>
  <si>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</si>
  <si>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</si>
  <si>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</si>
  <si>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</si>
  <si>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</si>
  <si>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</si>
  <si>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</si>
  <si>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</si>
  <si>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</si>
  <si>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</si>
  <si>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</si>
  <si>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</si>
  <si>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</si>
  <si>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</si>
  <si>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</si>
  <si>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</si>
  <si>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</si>
  <si>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</si>
  <si>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</si>
  <si>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</si>
  <si>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</si>
  <si>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</si>
  <si>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</si>
  <si>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</si>
  <si>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</si>
  <si>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</si>
  <si>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</si>
  <si>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</si>
  <si>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</si>
  <si>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</si>
  <si>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</si>
  <si>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</si>
  <si>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</si>
  <si>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</si>
  <si>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</si>
  <si>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</si>
  <si>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</si>
  <si>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</si>
  <si>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</si>
  <si>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</si>
  <si>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</si>
  <si>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</si>
  <si>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</si>
  <si>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</si>
  <si>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</si>
  <si>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</si>
  <si>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</si>
  <si>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</si>
  <si>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</si>
  <si>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</si>
  <si>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</si>
  <si>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</si>
  <si>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</si>
  <si>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</si>
  <si>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</si>
  <si>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</si>
  <si>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</si>
  <si>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</si>
  <si>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</si>
  <si>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</si>
  <si>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</si>
  <si>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</si>
  <si>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</si>
  <si>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</si>
  <si>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</si>
  <si>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</si>
  <si>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</si>
  <si>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</si>
  <si>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</si>
  <si>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</si>
  <si>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</si>
  <si>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</si>
  <si>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</si>
  <si>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</si>
  <si>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</si>
  <si>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</si>
  <si>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</si>
  <si>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</si>
  <si>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</si>
  <si>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</si>
  <si>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</si>
  <si>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</si>
  <si>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</si>
  <si>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</si>
  <si>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</si>
  <si>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</si>
  <si>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</si>
  <si>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</si>
  <si>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</si>
  <si>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</si>
  <si>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</si>
  <si>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</si>
  <si>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</si>
  <si>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</si>
  <si>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</si>
  <si>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</si>
  <si>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</si>
  <si>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</si>
  <si>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</si>
  <si>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</si>
  <si>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</si>
  <si>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</si>
  <si>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</si>
  <si>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</si>
  <si>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</si>
  <si>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</si>
  <si>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</si>
  <si>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</si>
  <si>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</si>
  <si>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</si>
  <si>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</si>
  <si>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</si>
  <si>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</si>
  <si>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</si>
  <si>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</si>
  <si>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</si>
  <si>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</si>
  <si>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</si>
  <si>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</si>
  <si>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</si>
  <si>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</si>
  <si>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</si>
  <si>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</si>
  <si>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</si>
  <si>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</si>
  <si>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</si>
  <si>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</si>
  <si>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</si>
  <si>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</si>
  <si>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</si>
  <si>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</si>
  <si>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</si>
  <si>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</si>
  <si>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</si>
  <si>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</si>
  <si>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</si>
  <si>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</si>
  <si>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</si>
  <si>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</si>
  <si>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</si>
  <si>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</si>
  <si>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</si>
  <si>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</si>
  <si>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</si>
  <si>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</si>
  <si>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</si>
  <si>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</si>
  <si>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</si>
  <si>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</si>
  <si>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</si>
  <si>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</si>
  <si>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</si>
  <si>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</si>
  <si>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</si>
  <si>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</si>
  <si>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</si>
  <si>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</si>
  <si>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</si>
  <si>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</si>
  <si>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</si>
  <si>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</si>
  <si>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</si>
  <si>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</si>
  <si>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</si>
  <si>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</si>
  <si>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</si>
  <si>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</si>
  <si>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</si>
  <si>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</si>
  <si>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</si>
  <si>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</si>
  <si>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</si>
  <si>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</si>
  <si>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</si>
  <si>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</si>
  <si>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</si>
  <si>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</si>
  <si>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</si>
  <si>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</si>
  <si>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</si>
  <si>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</si>
  <si>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</si>
  <si>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</si>
  <si>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</si>
  <si>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</si>
  <si>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</si>
  <si>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</si>
  <si>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</si>
  <si>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</si>
  <si>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</si>
  <si>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</si>
  <si>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</si>
  <si>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</si>
  <si>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</si>
  <si>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</si>
  <si>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</si>
  <si>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</si>
  <si>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</si>
  <si>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</si>
  <si>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</si>
  <si>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</si>
  <si>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</si>
  <si>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</si>
  <si>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</si>
  <si>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</si>
  <si>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</si>
  <si>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</si>
  <si>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</si>
  <si>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</si>
  <si>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</si>
  <si>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</si>
  <si>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</si>
  <si>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</si>
  <si>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</si>
  <si>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</si>
  <si>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</si>
  <si>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</si>
  <si>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</si>
  <si>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</si>
  <si>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</si>
  <si>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</si>
  <si>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</si>
  <si>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</si>
  <si>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</si>
  <si>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</si>
  <si>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</si>
  <si>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</si>
  <si>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</si>
  <si>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</si>
  <si>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</si>
  <si>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</si>
  <si>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</si>
  <si>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</si>
  <si>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</si>
  <si>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</si>
  <si>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</si>
  <si>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</si>
  <si>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</si>
  <si>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</si>
  <si>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</si>
  <si>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</si>
  <si>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</si>
  <si>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</si>
  <si>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</si>
  <si>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</si>
  <si>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</si>
  <si>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</si>
  <si>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</si>
  <si>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</si>
  <si>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</si>
  <si>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</si>
  <si>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</si>
  <si>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</si>
  <si>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</si>
  <si>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</si>
  <si>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</si>
  <si>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</si>
  <si>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</si>
  <si>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</si>
  <si>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</si>
  <si>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</si>
  <si>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</si>
  <si>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</si>
  <si>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</si>
  <si>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</si>
  <si>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</si>
  <si>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</si>
  <si>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</si>
  <si>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</si>
  <si>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</si>
  <si>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</si>
  <si>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</si>
  <si>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</si>
  <si>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</si>
  <si>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</si>
  <si>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</si>
  <si>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</si>
  <si>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</si>
  <si>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</si>
  <si>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</si>
  <si>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</si>
  <si>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</si>
  <si>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</si>
  <si>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</si>
  <si>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</si>
  <si>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</si>
  <si>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</si>
  <si>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</si>
  <si>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</si>
  <si>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</si>
  <si>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</si>
  <si>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</si>
  <si>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</si>
  <si>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</si>
  <si>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</si>
  <si>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</si>
  <si>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</si>
  <si>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</si>
  <si>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</si>
  <si>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</si>
  <si>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</si>
  <si>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</si>
  <si>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</si>
  <si>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</si>
  <si>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</si>
  <si>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</si>
  <si>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</si>
  <si>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</si>
  <si>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</si>
  <si>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</si>
  <si>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</si>
  <si>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</si>
  <si>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</si>
  <si>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</si>
  <si>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</si>
  <si>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</si>
  <si>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</si>
  <si>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</si>
  <si>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</si>
  <si>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</si>
  <si>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</si>
  <si>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</si>
  <si>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</si>
  <si>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</si>
  <si>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</si>
  <si>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</si>
  <si>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</si>
  <si>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</si>
  <si>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</si>
  <si>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</si>
  <si>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</si>
  <si>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</si>
  <si>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</si>
  <si>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</si>
  <si>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</si>
  <si>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</si>
  <si>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</si>
  <si>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</si>
  <si>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</si>
  <si>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</si>
  <si>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</si>
  <si>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</si>
  <si>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</si>
  <si>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</si>
  <si>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</si>
  <si>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</si>
  <si>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</si>
  <si>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</si>
  <si>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</si>
  <si>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</si>
  <si>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</si>
  <si>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</si>
  <si>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</si>
  <si>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</si>
  <si>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</si>
  <si>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</si>
  <si>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</si>
  <si>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</si>
  <si>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</si>
  <si>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</si>
  <si>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</si>
  <si>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</si>
  <si>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</si>
  <si>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</si>
  <si>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</si>
  <si>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</si>
  <si>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</si>
  <si>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</si>
  <si>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</si>
  <si>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</si>
  <si>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</si>
  <si>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</si>
  <si>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</si>
  <si>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</si>
  <si>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</si>
  <si>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</si>
  <si>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</si>
  <si>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</si>
  <si>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</si>
  <si>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</si>
  <si>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</si>
  <si>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</si>
  <si>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</si>
  <si>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</si>
  <si>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</si>
  <si>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</si>
  <si>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</si>
  <si>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</si>
  <si>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</si>
  <si>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</si>
  <si>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</si>
  <si>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</si>
  <si>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</si>
  <si>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</si>
  <si>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</si>
  <si>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</si>
  <si>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</si>
  <si>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</si>
  <si>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</si>
  <si>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</si>
  <si>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</si>
  <si>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</si>
  <si>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</si>
  <si>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</si>
  <si>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</si>
  <si>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</si>
  <si>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</si>
  <si>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</si>
  <si>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</si>
  <si>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</si>
  <si>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</si>
  <si>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</si>
  <si>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</si>
  <si>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</si>
  <si>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</si>
  <si>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</si>
  <si>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</si>
  <si>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</si>
  <si>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</si>
  <si>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</si>
  <si>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</si>
  <si>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</si>
  <si>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</si>
  <si>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</si>
  <si>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</si>
  <si>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</si>
  <si>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</si>
  <si>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</si>
  <si>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</si>
  <si>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</si>
  <si>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</si>
  <si>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</si>
  <si>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</si>
  <si>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</si>
  <si>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</si>
  <si>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</si>
  <si>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</si>
  <si>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</si>
  <si>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</si>
  <si>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</si>
  <si>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</si>
  <si>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</si>
  <si>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</si>
  <si>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</si>
  <si>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</si>
  <si>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</si>
  <si>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</si>
  <si>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</si>
  <si>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</si>
  <si>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</si>
  <si>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</si>
  <si>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</si>
  <si>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</si>
  <si>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</si>
  <si>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</si>
  <si>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</si>
  <si>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</si>
  <si>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</si>
  <si>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</si>
  <si>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</si>
  <si>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</si>
  <si>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</si>
  <si>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</si>
  <si>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</si>
  <si>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</si>
  <si>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</si>
  <si>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</si>
  <si>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</si>
  <si>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</si>
  <si>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</si>
  <si>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</si>
  <si>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</si>
  <si>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</si>
  <si>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</si>
  <si>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</si>
  <si>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</si>
  <si>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</si>
  <si>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</si>
  <si>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</si>
  <si>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</si>
  <si>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</si>
  <si>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</si>
  <si>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</si>
  <si>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</si>
  <si>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</si>
  <si>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</si>
  <si>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</si>
  <si>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</si>
  <si>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</si>
  <si>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</si>
  <si>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</si>
  <si>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</si>
  <si>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</si>
  <si>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</si>
  <si>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</si>
  <si>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</si>
  <si>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</si>
  <si>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</si>
  <si>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</si>
  <si>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</si>
  <si>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</si>
  <si>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</si>
  <si>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</si>
  <si>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</si>
  <si>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</si>
  <si>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</si>
  <si>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</si>
  <si>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</si>
  <si>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</si>
  <si>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</si>
  <si>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</si>
  <si>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</si>
  <si>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</si>
  <si>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</si>
  <si>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</si>
  <si>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</si>
  <si>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</si>
  <si>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</si>
  <si>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</si>
  <si>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</si>
  <si>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</si>
  <si>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</si>
  <si>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</si>
  <si>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</si>
  <si>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</si>
  <si>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</si>
  <si>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</si>
  <si>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</si>
  <si>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</si>
  <si>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</si>
  <si>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</si>
  <si>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</si>
  <si>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</si>
  <si>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</si>
  <si>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</si>
  <si>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</si>
  <si>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</si>
  <si>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</si>
  <si>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</si>
  <si>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</si>
  <si>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</si>
  <si>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</si>
  <si>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</si>
  <si>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</si>
  <si>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</si>
  <si>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</si>
  <si>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</si>
  <si>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</si>
  <si>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</si>
  <si>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</si>
  <si>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</si>
  <si>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</si>
  <si>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</si>
  <si>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</si>
  <si>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</si>
  <si>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</si>
  <si>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</si>
  <si>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</si>
  <si>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</si>
  <si>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</si>
  <si>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</si>
  <si>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</si>
  <si>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</si>
  <si>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</si>
  <si>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</si>
  <si>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</si>
  <si>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</si>
  <si>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</si>
  <si>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</si>
  <si>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</si>
  <si>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</si>
  <si>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</si>
  <si>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</si>
  <si>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</si>
  <si>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</si>
  <si>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</si>
  <si>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</si>
  <si>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</si>
  <si>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</si>
  <si>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</si>
  <si>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</si>
  <si>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</si>
  <si>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</si>
  <si>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</si>
  <si>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</si>
  <si>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</si>
  <si>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</si>
  <si>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</si>
  <si>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</si>
  <si>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</si>
  <si>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</si>
  <si>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</si>
  <si>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</si>
  <si>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</si>
  <si>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</si>
  <si>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</si>
  <si>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</si>
  <si>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</si>
  <si>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</si>
  <si>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</si>
  <si>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</si>
  <si>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</si>
  <si>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</si>
  <si>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</si>
  <si>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</si>
  <si>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</si>
  <si>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</si>
  <si>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</si>
  <si>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</si>
  <si>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</si>
  <si>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</si>
  <si>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</si>
  <si>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</si>
  <si>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</si>
  <si>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</si>
  <si>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</si>
  <si>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</si>
  <si>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</si>
  <si>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</si>
  <si>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</si>
  <si>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</si>
  <si>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</si>
  <si>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</si>
  <si>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</si>
  <si>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</si>
  <si>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</si>
  <si>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</si>
  <si>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</si>
  <si>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</si>
  <si>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</si>
  <si>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</si>
  <si>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</si>
  <si>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</si>
  <si>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</si>
  <si>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</si>
  <si>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</si>
  <si>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</si>
  <si>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</si>
  <si>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</si>
  <si>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</si>
  <si>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</si>
  <si>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</si>
  <si>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</si>
  <si>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</si>
  <si>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</si>
  <si>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</si>
  <si>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</si>
  <si>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</si>
  <si>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</si>
  <si>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</si>
  <si>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</si>
  <si>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</si>
  <si>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</si>
  <si>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</si>
  <si>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</si>
  <si>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</si>
  <si>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</si>
  <si>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</si>
  <si>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</si>
  <si>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</si>
  <si>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</si>
  <si>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</si>
  <si>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</si>
  <si>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</si>
  <si>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</si>
  <si>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</si>
  <si>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</si>
  <si>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</si>
  <si>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</si>
  <si>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</si>
  <si>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</si>
  <si>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</si>
  <si>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</si>
  <si>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</si>
  <si>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</si>
  <si>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</si>
  <si>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</si>
  <si>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</si>
  <si>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</si>
  <si>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</si>
  <si>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</si>
  <si>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</si>
  <si>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</si>
  <si>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</si>
  <si>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</si>
  <si>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</si>
  <si>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</si>
  <si>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</si>
  <si>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</si>
  <si>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</si>
  <si>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</si>
  <si>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</si>
  <si>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</si>
  <si>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</si>
  <si>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</si>
  <si>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</si>
  <si>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</si>
  <si>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</si>
  <si>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</si>
  <si>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</si>
  <si>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</si>
  <si>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</si>
  <si>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</si>
  <si>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</si>
  <si>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</si>
  <si>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</si>
  <si>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</si>
  <si>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</si>
  <si>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</si>
  <si>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</si>
  <si>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</si>
  <si>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</si>
  <si>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</si>
  <si>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</si>
  <si>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</si>
  <si>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</si>
  <si>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</si>
  <si>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</si>
  <si>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</si>
  <si>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</si>
  <si>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</si>
  <si>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</si>
  <si>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</si>
  <si>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</si>
  <si>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</si>
  <si>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</si>
  <si>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</si>
  <si>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</si>
  <si>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</si>
  <si>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</si>
  <si>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</si>
  <si>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</si>
  <si>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</si>
  <si>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</si>
  <si>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</si>
  <si>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</si>
  <si>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</si>
  <si>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</si>
  <si>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</si>
  <si>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</si>
  <si>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</si>
  <si>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</si>
  <si>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</si>
  <si>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</si>
  <si>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</si>
  <si>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</si>
  <si>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</si>
  <si>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</si>
  <si>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</si>
  <si>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</si>
  <si>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</si>
  <si>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</si>
  <si>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</si>
  <si>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</si>
  <si>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</si>
  <si>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</si>
  <si>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</si>
  <si>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</si>
  <si>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</si>
  <si>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</si>
  <si>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</si>
  <si>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</si>
  <si>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</si>
  <si>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</si>
  <si>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</si>
  <si>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</si>
  <si>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</si>
  <si>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</si>
  <si>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</si>
  <si>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</si>
  <si>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</si>
  <si>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</si>
  <si>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</si>
  <si>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</si>
  <si>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</si>
  <si>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</si>
  <si>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</si>
  <si>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</si>
  <si>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</si>
  <si>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</si>
  <si>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</si>
  <si>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</si>
  <si>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</si>
  <si>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</si>
  <si>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</si>
  <si>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</si>
  <si>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</si>
  <si>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</si>
  <si>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</si>
  <si>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</si>
  <si>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</si>
  <si>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</si>
  <si>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</si>
  <si>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</si>
  <si>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</si>
  <si>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</si>
  <si>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</si>
  <si>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</si>
  <si>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</si>
  <si>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</si>
  <si>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</si>
  <si>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</si>
  <si>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</si>
  <si>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</si>
  <si>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</si>
  <si>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</si>
  <si>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</si>
  <si>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</si>
  <si>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</si>
  <si>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</si>
  <si>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</si>
  <si>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</si>
  <si>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</si>
  <si>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</si>
  <si>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</si>
  <si>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</si>
  <si>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</si>
  <si>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</si>
  <si>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</si>
  <si>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</si>
  <si>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</si>
  <si>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</si>
  <si>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</si>
  <si>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</si>
  <si>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</si>
  <si>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</si>
  <si>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</si>
  <si>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</si>
  <si>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</si>
  <si>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</si>
  <si>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</si>
  <si>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</si>
  <si>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</si>
  <si>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</si>
  <si>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</si>
  <si>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</si>
  <si>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</si>
  <si>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</si>
  <si>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</si>
  <si>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</si>
  <si>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</si>
  <si>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</si>
  <si>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</si>
  <si>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</si>
  <si>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</si>
  <si>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</si>
  <si>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</si>
  <si>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</si>
  <si>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</si>
  <si>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</si>
  <si>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</si>
  <si>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</si>
  <si>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</si>
  <si>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</si>
  <si>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</si>
  <si>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</si>
  <si>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</si>
  <si>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</si>
  <si>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</si>
  <si>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</si>
  <si>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</si>
  <si>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</si>
  <si>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</si>
  <si>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</si>
  <si>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</si>
  <si>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</si>
  <si>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</si>
  <si>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</si>
  <si>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</si>
  <si>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</si>
  <si>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</si>
  <si>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</si>
  <si>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</si>
  <si>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</si>
  <si>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</si>
  <si>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</si>
  <si>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</si>
  <si>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</si>
  <si>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</si>
  <si>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</si>
  <si>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</si>
  <si>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</si>
  <si>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</si>
  <si>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</si>
  <si>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</si>
  <si>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</si>
  <si>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</si>
  <si>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</si>
  <si>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</si>
  <si>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</si>
  <si>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</si>
  <si>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</si>
  <si>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</si>
  <si>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</si>
  <si>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</si>
  <si>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</si>
  <si>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</si>
  <si>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</si>
  <si>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</si>
  <si>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</si>
  <si>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</si>
  <si>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</si>
  <si>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</si>
  <si>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</si>
  <si>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</si>
  <si>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</si>
  <si>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</si>
  <si>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</si>
  <si>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</si>
  <si>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</si>
  <si>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</si>
  <si>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</si>
  <si>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</si>
  <si>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</si>
  <si>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</si>
  <si>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</si>
  <si>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</si>
  <si>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</si>
  <si>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</si>
  <si>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</si>
  <si>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</si>
  <si>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</si>
  <si>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</si>
  <si>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</si>
  <si>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</si>
  <si>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</si>
  <si>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</si>
  <si>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</si>
  <si>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</si>
  <si>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</si>
  <si>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</si>
  <si>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</si>
  <si>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</si>
  <si>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</si>
  <si>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</si>
  <si>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</si>
  <si>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</si>
  <si>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</si>
  <si>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</si>
  <si>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</si>
  <si>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</si>
  <si>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</si>
  <si>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</si>
  <si>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</si>
  <si>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</si>
  <si>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</si>
  <si>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</si>
  <si>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</si>
  <si>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</si>
  <si>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</si>
  <si>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</si>
  <si>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</si>
  <si>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</si>
  <si>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</si>
  <si>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</si>
  <si>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</si>
  <si>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</si>
  <si>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</si>
  <si>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</si>
  <si>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</si>
  <si>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</si>
  <si>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</si>
  <si>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</si>
  <si>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</si>
  <si>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</si>
  <si>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</si>
  <si>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</si>
  <si>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</si>
  <si>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</si>
  <si>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</si>
  <si>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</si>
  <si>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</si>
  <si>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</si>
  <si>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</si>
  <si>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</si>
  <si>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</si>
  <si>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</si>
  <si>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</si>
  <si>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</si>
  <si>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</si>
  <si>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</si>
  <si>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</si>
  <si>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</si>
  <si>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</si>
  <si>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</si>
  <si>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</si>
  <si>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</si>
  <si>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</si>
  <si>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</si>
  <si>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</si>
  <si>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</si>
  <si>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</si>
  <si>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</si>
  <si>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</si>
  <si>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</si>
  <si>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</si>
  <si>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</si>
  <si>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</si>
  <si>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</si>
  <si>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</si>
  <si>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</si>
  <si>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</si>
  <si>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</si>
  <si>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</si>
  <si>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</si>
  <si>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</si>
  <si>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</si>
  <si>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</si>
  <si>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</si>
  <si>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</si>
  <si>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</si>
  <si>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</si>
  <si>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</si>
  <si>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</si>
  <si>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</si>
  <si>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</si>
  <si>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</si>
  <si>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</si>
  <si>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</si>
  <si>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</si>
  <si>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</si>
  <si>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</si>
  <si>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</si>
  <si>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</si>
  <si>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</si>
  <si>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</si>
  <si>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</si>
  <si>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</si>
  <si>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</si>
  <si>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</si>
  <si>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</si>
  <si>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</si>
  <si>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</si>
  <si>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</si>
  <si>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</si>
  <si>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</si>
  <si>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</si>
  <si>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</si>
  <si>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</si>
  <si>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</si>
  <si>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</si>
  <si>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</si>
  <si>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</si>
  <si>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</si>
  <si>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</si>
  <si>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</si>
  <si>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</si>
  <si>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</si>
  <si>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</si>
  <si>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</si>
  <si>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</si>
  <si>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</si>
  <si>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</si>
  <si>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</si>
  <si>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</si>
  <si>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</si>
  <si>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</si>
  <si>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</si>
  <si>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</si>
  <si>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</si>
  <si>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</si>
  <si>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</si>
  <si>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</si>
  <si>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</si>
  <si>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</si>
  <si>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</si>
  <si>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</si>
  <si>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</si>
  <si>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</si>
  <si>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</si>
  <si>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</si>
  <si>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</si>
  <si>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</si>
  <si>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</si>
  <si>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</si>
  <si>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</si>
  <si>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</si>
  <si>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</si>
  <si>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</si>
  <si>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</si>
  <si>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</si>
  <si>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</si>
  <si>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</si>
  <si>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</si>
  <si>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</si>
  <si>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</si>
  <si>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</si>
  <si>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</si>
  <si>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</si>
  <si>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</si>
  <si>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</si>
  <si>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</si>
  <si>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</si>
  <si>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</si>
  <si>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</si>
  <si>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</si>
  <si>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</si>
  <si>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</si>
  <si>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</si>
  <si>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</si>
  <si>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S</t>
  </si>
  <si>
    <t>XX</t>
  </si>
  <si>
    <t>YY</t>
  </si>
  <si>
    <t>XY</t>
  </si>
  <si>
    <t>Sigma X</t>
  </si>
  <si>
    <t>Sigma Y</t>
  </si>
  <si>
    <t>Sigma XY</t>
  </si>
  <si>
    <t>Sigma XX</t>
  </si>
  <si>
    <t>Sigma YY</t>
  </si>
  <si>
    <t>Avg Y</t>
  </si>
  <si>
    <t>Avg X</t>
  </si>
  <si>
    <t>Y</t>
  </si>
  <si>
    <t>X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</si>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</sst>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theme="5" tint="0.79998168889431442"/>
        <bgColor rgb="FFB4E4E8"/>
      </patternFill>
    </fill>
    <fill>
      <patternFill patternType="solid">
        <fgColor theme="5" tint="0.79998168889431442"/>
        <bgColor rgb="FFF28E85"/>
      </patternFill>
    </fill>
    <fill>
      <patternFill patternType="solid">
        <fgColor theme="5" tint="0.79998168889431442"/>
        <bgColor rgb="FF9FC5E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workbookViewId="0">
      <selection sqref="A1:C120"/>
    </sheetView>
  </sheetViews>
  <sheetFormatPr defaultRowHeight="12.75" x14ac:dyDescent="0.2"/>
  <cols>
    <col min="1" max="1" width="29.85546875" customWidth="1"/>
    <col min="3" max="3" width="24" bestFit="1" customWidth="1"/>
  </cols>
  <sheetData>
    <row r="1" spans="1:11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B241-9B68-4C45-9AC2-3A74890157D1}">
  <dimension ref="A1:R122"/>
  <sheetViews>
    <sheetView tabSelected="1" topLeftCell="C1" workbookViewId="0">
      <selection activeCell="L6" sqref="L6"/>
    </sheetView>
  </sheetViews>
  <sheetFormatPr defaultRowHeight="21" customHeight="1" x14ac:dyDescent="0.2"/>
  <cols>
    <col min="1" max="1" width="21.140625" style="27" bestFit="1" customWidth="1"/>
    <col min="2" max="2" width="8" style="27" bestFit="1" customWidth="1"/>
    <col min="3" max="3" width="6" style="27" bestFit="1" customWidth="1"/>
    <col min="4" max="4" width="10" style="27" bestFit="1" customWidth="1"/>
    <col min="5" max="5" width="9" style="27" bestFit="1" customWidth="1"/>
    <col min="6" max="6" width="10" style="27" bestFit="1" customWidth="1"/>
    <col min="7" max="9" width="17.140625" style="27" customWidth="1"/>
    <col min="10" max="10" width="8.7109375" style="27" bestFit="1" customWidth="1"/>
    <col min="11" max="13" width="12" style="27" bestFit="1" customWidth="1"/>
    <col min="14" max="14" width="10" style="27" bestFit="1" customWidth="1"/>
    <col min="15" max="16384" width="9.140625" style="27"/>
  </cols>
  <sheetData>
    <row r="1" spans="1:18" ht="21" customHeight="1" x14ac:dyDescent="0.2">
      <c r="A1" s="31" t="s">
        <v>1</v>
      </c>
      <c r="B1" s="32" t="s">
        <v>1716</v>
      </c>
      <c r="C1" s="33" t="s">
        <v>1717</v>
      </c>
      <c r="D1" s="34" t="s">
        <v>1708</v>
      </c>
      <c r="E1" s="34" t="s">
        <v>1706</v>
      </c>
      <c r="F1" s="34" t="s">
        <v>1707</v>
      </c>
      <c r="H1" s="34" t="s">
        <v>1714</v>
      </c>
      <c r="I1" s="34" t="s">
        <v>1715</v>
      </c>
      <c r="J1" s="34" t="s">
        <v>1709</v>
      </c>
      <c r="K1" s="34" t="s">
        <v>1710</v>
      </c>
      <c r="L1" s="34" t="s">
        <v>1711</v>
      </c>
      <c r="M1" s="34" t="s">
        <v>1713</v>
      </c>
      <c r="N1" s="34" t="s">
        <v>1712</v>
      </c>
      <c r="P1" s="35" t="s">
        <v>1705</v>
      </c>
      <c r="Q1" s="35"/>
      <c r="R1" s="35"/>
    </row>
    <row r="2" spans="1:18" ht="21" customHeight="1" x14ac:dyDescent="0.2">
      <c r="A2" s="28" t="s">
        <v>588</v>
      </c>
      <c r="B2" s="29">
        <v>76.69</v>
      </c>
      <c r="C2" s="30">
        <v>9.26</v>
      </c>
      <c r="D2" s="26">
        <f>B2*C2</f>
        <v>710.14940000000001</v>
      </c>
      <c r="E2" s="26">
        <f>C2*C2</f>
        <v>85.747599999999991</v>
      </c>
      <c r="F2" s="26">
        <f>B2*B2</f>
        <v>5881.3561</v>
      </c>
      <c r="H2" s="26">
        <f>AVERAGE(B2:B120)</f>
        <v>75.746134453781551</v>
      </c>
      <c r="I2" s="26">
        <f>AVERAGE(C2:C120)</f>
        <v>8.8323529411764667</v>
      </c>
      <c r="J2" s="26">
        <f>SUM(C2:C120)</f>
        <v>1051.0499999999995</v>
      </c>
      <c r="K2" s="26">
        <f>SUM(B2:B120)</f>
        <v>9013.7900000000045</v>
      </c>
      <c r="L2" s="26">
        <f>SUM(D2:D120)</f>
        <v>80530.6446</v>
      </c>
      <c r="M2" s="26">
        <f>SUM(F2:F120)</f>
        <v>685729.37010000041</v>
      </c>
      <c r="N2" s="26">
        <f>SUM(E2:E120)</f>
        <v>9602.436700000002</v>
      </c>
      <c r="P2" s="36" t="s">
        <v>1706</v>
      </c>
      <c r="Q2" s="36" t="s">
        <v>1707</v>
      </c>
      <c r="R2" s="36" t="s">
        <v>1708</v>
      </c>
    </row>
    <row r="3" spans="1:18" ht="21" customHeight="1" x14ac:dyDescent="0.2">
      <c r="A3" s="28" t="s">
        <v>591</v>
      </c>
      <c r="B3" s="29">
        <v>87.57</v>
      </c>
      <c r="C3" s="30">
        <v>11.95</v>
      </c>
      <c r="D3" s="26">
        <f t="shared" ref="D3:D66" si="0">B3*C3</f>
        <v>1046.4614999999999</v>
      </c>
      <c r="E3" s="26">
        <f t="shared" ref="E3:E66" si="1">C3*C3</f>
        <v>142.80249999999998</v>
      </c>
      <c r="F3" s="26">
        <f t="shared" ref="F3:F66" si="2">B3*B3</f>
        <v>7668.504899999999</v>
      </c>
      <c r="P3" s="26">
        <f>N2-((J2*J2)/COUNT(D2:D120))</f>
        <v>319.19214117648153</v>
      </c>
      <c r="Q3" s="26">
        <f>M2-((K2*K2)/COUNT(E2:E120))</f>
        <v>2969.6208218485117</v>
      </c>
      <c r="R3" s="26">
        <f>L2-((J2*K2)/COUNT(E2:E120))</f>
        <v>917.66998235294886</v>
      </c>
    </row>
    <row r="4" spans="1:18" ht="21" customHeight="1" x14ac:dyDescent="0.2">
      <c r="A4" s="28" t="s">
        <v>594</v>
      </c>
      <c r="B4" s="29">
        <v>84.76</v>
      </c>
      <c r="C4" s="30">
        <v>11.99</v>
      </c>
      <c r="D4" s="26">
        <f t="shared" si="0"/>
        <v>1016.2724000000001</v>
      </c>
      <c r="E4" s="26">
        <f t="shared" si="1"/>
        <v>143.76009999999999</v>
      </c>
      <c r="F4" s="26">
        <f t="shared" si="2"/>
        <v>7184.2576000000008</v>
      </c>
    </row>
    <row r="5" spans="1:18" ht="21" customHeight="1" x14ac:dyDescent="0.2">
      <c r="A5" s="28" t="s">
        <v>598</v>
      </c>
      <c r="B5" s="29">
        <v>83.75</v>
      </c>
      <c r="C5" s="30">
        <v>11.61</v>
      </c>
      <c r="D5" s="26">
        <f t="shared" si="0"/>
        <v>972.33749999999998</v>
      </c>
      <c r="E5" s="26">
        <f t="shared" si="1"/>
        <v>134.79209999999998</v>
      </c>
      <c r="F5" s="26">
        <f t="shared" si="2"/>
        <v>7014.0625</v>
      </c>
      <c r="P5" s="37" t="s">
        <v>1718</v>
      </c>
      <c r="Q5" s="26">
        <f>R3/P3</f>
        <v>2.874976742756234</v>
      </c>
    </row>
    <row r="6" spans="1:18" ht="21" customHeight="1" x14ac:dyDescent="0.2">
      <c r="A6" s="28" t="s">
        <v>602</v>
      </c>
      <c r="B6" s="29">
        <v>84.4</v>
      </c>
      <c r="C6" s="30">
        <v>11.24</v>
      </c>
      <c r="D6" s="26">
        <f t="shared" si="0"/>
        <v>948.65600000000006</v>
      </c>
      <c r="E6" s="26">
        <f t="shared" si="1"/>
        <v>126.33760000000001</v>
      </c>
      <c r="F6" s="26">
        <f t="shared" si="2"/>
        <v>7123.3600000000006</v>
      </c>
      <c r="P6" s="37" t="s">
        <v>1719</v>
      </c>
      <c r="Q6" s="26">
        <f>H2-Q5*I2</f>
        <v>50.353325164084588</v>
      </c>
    </row>
    <row r="7" spans="1:18" ht="21" customHeight="1" x14ac:dyDescent="0.2">
      <c r="A7" s="28" t="s">
        <v>606</v>
      </c>
      <c r="B7" s="29">
        <v>82.13</v>
      </c>
      <c r="C7" s="30">
        <v>10.85</v>
      </c>
      <c r="D7" s="26">
        <f t="shared" si="0"/>
        <v>891.11049999999989</v>
      </c>
      <c r="E7" s="26">
        <f t="shared" si="1"/>
        <v>117.7225</v>
      </c>
      <c r="F7" s="26">
        <f t="shared" si="2"/>
        <v>6745.3368999999993</v>
      </c>
    </row>
    <row r="8" spans="1:18" ht="21" customHeight="1" x14ac:dyDescent="0.2">
      <c r="A8" s="28" t="s">
        <v>611</v>
      </c>
      <c r="B8" s="29">
        <v>73.63</v>
      </c>
      <c r="C8" s="30">
        <v>8.89</v>
      </c>
      <c r="D8" s="26">
        <f t="shared" si="0"/>
        <v>654.57069999999999</v>
      </c>
      <c r="E8" s="26">
        <f t="shared" si="1"/>
        <v>79.032100000000014</v>
      </c>
      <c r="F8" s="26">
        <f t="shared" si="2"/>
        <v>5421.3768999999993</v>
      </c>
    </row>
    <row r="9" spans="1:18" ht="21" customHeight="1" x14ac:dyDescent="0.2">
      <c r="A9" s="28" t="s">
        <v>615</v>
      </c>
      <c r="B9" s="29">
        <v>70.180000000000007</v>
      </c>
      <c r="C9" s="30">
        <v>7.75</v>
      </c>
      <c r="D9" s="26">
        <f t="shared" si="0"/>
        <v>543.8950000000001</v>
      </c>
      <c r="E9" s="26">
        <f t="shared" si="1"/>
        <v>60.0625</v>
      </c>
      <c r="F9" s="26">
        <f t="shared" si="2"/>
        <v>4925.2324000000008</v>
      </c>
    </row>
    <row r="10" spans="1:18" ht="21" customHeight="1" x14ac:dyDescent="0.2">
      <c r="A10" s="28" t="s">
        <v>619</v>
      </c>
      <c r="B10" s="29">
        <v>68.89</v>
      </c>
      <c r="C10" s="30">
        <v>7.91</v>
      </c>
      <c r="D10" s="26">
        <f t="shared" si="0"/>
        <v>544.91989999999998</v>
      </c>
      <c r="E10" s="26">
        <f t="shared" si="1"/>
        <v>62.568100000000001</v>
      </c>
      <c r="F10" s="26">
        <f t="shared" si="2"/>
        <v>4745.8320999999996</v>
      </c>
    </row>
    <row r="11" spans="1:18" ht="21" customHeight="1" x14ac:dyDescent="0.2">
      <c r="A11" s="28" t="s">
        <v>621</v>
      </c>
      <c r="B11" s="29">
        <v>74.59</v>
      </c>
      <c r="C11" s="30">
        <v>9.4499999999999993</v>
      </c>
      <c r="D11" s="26">
        <f t="shared" si="0"/>
        <v>704.87549999999999</v>
      </c>
      <c r="E11" s="26">
        <f t="shared" si="1"/>
        <v>89.302499999999981</v>
      </c>
      <c r="F11" s="26">
        <f t="shared" si="2"/>
        <v>5563.6681000000008</v>
      </c>
    </row>
    <row r="12" spans="1:18" ht="21" customHeight="1" x14ac:dyDescent="0.2">
      <c r="A12" s="28" t="s">
        <v>625</v>
      </c>
      <c r="B12" s="29">
        <v>69.91</v>
      </c>
      <c r="C12" s="30">
        <v>8.31</v>
      </c>
      <c r="D12" s="26">
        <f t="shared" si="0"/>
        <v>580.95209999999997</v>
      </c>
      <c r="E12" s="26">
        <f t="shared" si="1"/>
        <v>69.056100000000015</v>
      </c>
      <c r="F12" s="26">
        <f t="shared" si="2"/>
        <v>4887.4080999999996</v>
      </c>
    </row>
    <row r="13" spans="1:18" ht="21" customHeight="1" x14ac:dyDescent="0.2">
      <c r="A13" s="28" t="s">
        <v>629</v>
      </c>
      <c r="B13" s="29">
        <v>69.98</v>
      </c>
      <c r="C13" s="30">
        <v>8.32</v>
      </c>
      <c r="D13" s="26">
        <f t="shared" si="0"/>
        <v>582.23360000000002</v>
      </c>
      <c r="E13" s="26">
        <f t="shared" si="1"/>
        <v>69.222400000000007</v>
      </c>
      <c r="F13" s="26">
        <f t="shared" si="2"/>
        <v>4897.2004000000006</v>
      </c>
    </row>
    <row r="14" spans="1:18" ht="21" customHeight="1" x14ac:dyDescent="0.2">
      <c r="A14" s="28" t="s">
        <v>631</v>
      </c>
      <c r="B14" s="29">
        <v>73.64</v>
      </c>
      <c r="C14" s="30">
        <v>8.33</v>
      </c>
      <c r="D14" s="26">
        <f t="shared" si="0"/>
        <v>613.4212</v>
      </c>
      <c r="E14" s="26">
        <f t="shared" si="1"/>
        <v>69.388900000000007</v>
      </c>
      <c r="F14" s="26">
        <f t="shared" si="2"/>
        <v>5422.8496000000005</v>
      </c>
    </row>
    <row r="15" spans="1:18" ht="21" customHeight="1" x14ac:dyDescent="0.2">
      <c r="A15" s="28" t="s">
        <v>634</v>
      </c>
      <c r="B15" s="29">
        <v>71.56</v>
      </c>
      <c r="C15" s="30">
        <v>8.18</v>
      </c>
      <c r="D15" s="26">
        <f t="shared" si="0"/>
        <v>585.36080000000004</v>
      </c>
      <c r="E15" s="26">
        <f t="shared" si="1"/>
        <v>66.912399999999991</v>
      </c>
      <c r="F15" s="26">
        <f t="shared" si="2"/>
        <v>5120.8335999999999</v>
      </c>
    </row>
    <row r="16" spans="1:18" ht="21" customHeight="1" x14ac:dyDescent="0.2">
      <c r="A16" s="28" t="s">
        <v>637</v>
      </c>
      <c r="B16" s="29">
        <v>72.3</v>
      </c>
      <c r="C16" s="30">
        <v>8.06</v>
      </c>
      <c r="D16" s="26">
        <f t="shared" si="0"/>
        <v>582.73800000000006</v>
      </c>
      <c r="E16" s="26">
        <f t="shared" si="1"/>
        <v>64.963600000000014</v>
      </c>
      <c r="F16" s="26">
        <f t="shared" si="2"/>
        <v>5227.29</v>
      </c>
    </row>
    <row r="17" spans="1:6" ht="21" customHeight="1" x14ac:dyDescent="0.2">
      <c r="A17" s="28" t="s">
        <v>641</v>
      </c>
      <c r="B17" s="29">
        <v>71.37</v>
      </c>
      <c r="C17" s="30">
        <v>7.99</v>
      </c>
      <c r="D17" s="26">
        <f t="shared" si="0"/>
        <v>570.24630000000002</v>
      </c>
      <c r="E17" s="26">
        <f t="shared" si="1"/>
        <v>63.840100000000007</v>
      </c>
      <c r="F17" s="26">
        <f t="shared" si="2"/>
        <v>5093.6769000000004</v>
      </c>
    </row>
    <row r="18" spans="1:6" ht="21" customHeight="1" x14ac:dyDescent="0.2">
      <c r="A18" s="28" t="s">
        <v>644</v>
      </c>
      <c r="B18" s="29">
        <v>74.569999999999993</v>
      </c>
      <c r="C18" s="30">
        <v>8.86</v>
      </c>
      <c r="D18" s="26">
        <f t="shared" si="0"/>
        <v>660.69019999999989</v>
      </c>
      <c r="E18" s="26">
        <f t="shared" si="1"/>
        <v>78.499599999999987</v>
      </c>
      <c r="F18" s="26">
        <f t="shared" si="2"/>
        <v>5560.6848999999993</v>
      </c>
    </row>
    <row r="19" spans="1:6" ht="21" customHeight="1" x14ac:dyDescent="0.2">
      <c r="A19" s="28" t="s">
        <v>647</v>
      </c>
      <c r="B19" s="29">
        <v>70.72</v>
      </c>
      <c r="C19" s="30">
        <v>7.45</v>
      </c>
      <c r="D19" s="26">
        <f t="shared" si="0"/>
        <v>526.86400000000003</v>
      </c>
      <c r="E19" s="26">
        <f t="shared" si="1"/>
        <v>55.502500000000005</v>
      </c>
      <c r="F19" s="26">
        <f t="shared" si="2"/>
        <v>5001.3184000000001</v>
      </c>
    </row>
    <row r="20" spans="1:6" ht="21" customHeight="1" x14ac:dyDescent="0.2">
      <c r="A20" s="28" t="s">
        <v>651</v>
      </c>
      <c r="B20" s="29">
        <v>72.05</v>
      </c>
      <c r="C20" s="30">
        <v>7.88</v>
      </c>
      <c r="D20" s="26">
        <f t="shared" si="0"/>
        <v>567.75400000000002</v>
      </c>
      <c r="E20" s="26">
        <f t="shared" si="1"/>
        <v>62.0944</v>
      </c>
      <c r="F20" s="26">
        <f t="shared" si="2"/>
        <v>5191.2024999999994</v>
      </c>
    </row>
    <row r="21" spans="1:6" ht="21" customHeight="1" x14ac:dyDescent="0.2">
      <c r="A21" s="28" t="s">
        <v>655</v>
      </c>
      <c r="B21" s="29">
        <v>73.989999999999995</v>
      </c>
      <c r="C21" s="30">
        <v>8.4</v>
      </c>
      <c r="D21" s="26">
        <f t="shared" si="0"/>
        <v>621.51599999999996</v>
      </c>
      <c r="E21" s="26">
        <f t="shared" si="1"/>
        <v>70.56</v>
      </c>
      <c r="F21" s="26">
        <f t="shared" si="2"/>
        <v>5474.5200999999988</v>
      </c>
    </row>
    <row r="22" spans="1:6" ht="21" customHeight="1" x14ac:dyDescent="0.2">
      <c r="A22" s="28" t="s">
        <v>659</v>
      </c>
      <c r="B22" s="29">
        <v>73.819999999999993</v>
      </c>
      <c r="C22" s="30">
        <v>8.5399999999999991</v>
      </c>
      <c r="D22" s="26">
        <f t="shared" si="0"/>
        <v>630.42279999999982</v>
      </c>
      <c r="E22" s="26">
        <f t="shared" si="1"/>
        <v>72.931599999999989</v>
      </c>
      <c r="F22" s="26">
        <f t="shared" si="2"/>
        <v>5449.3923999999988</v>
      </c>
    </row>
    <row r="23" spans="1:6" ht="21" customHeight="1" x14ac:dyDescent="0.2">
      <c r="A23" s="28" t="s">
        <v>663</v>
      </c>
      <c r="B23" s="29">
        <v>76.8</v>
      </c>
      <c r="C23" s="30">
        <v>10.19</v>
      </c>
      <c r="D23" s="26">
        <f t="shared" si="0"/>
        <v>782.59199999999998</v>
      </c>
      <c r="E23" s="26">
        <f t="shared" si="1"/>
        <v>103.83609999999999</v>
      </c>
      <c r="F23" s="26">
        <f t="shared" si="2"/>
        <v>5898.24</v>
      </c>
    </row>
    <row r="24" spans="1:6" ht="21" customHeight="1" x14ac:dyDescent="0.2">
      <c r="A24" s="28" t="s">
        <v>667</v>
      </c>
      <c r="B24" s="29">
        <v>70.77</v>
      </c>
      <c r="C24" s="30">
        <v>8.57</v>
      </c>
      <c r="D24" s="26">
        <f t="shared" si="0"/>
        <v>606.49889999999994</v>
      </c>
      <c r="E24" s="26">
        <f t="shared" si="1"/>
        <v>73.444900000000004</v>
      </c>
      <c r="F24" s="26">
        <f t="shared" si="2"/>
        <v>5008.3928999999998</v>
      </c>
    </row>
    <row r="25" spans="1:6" ht="21" customHeight="1" x14ac:dyDescent="0.2">
      <c r="A25" s="28" t="s">
        <v>671</v>
      </c>
      <c r="B25" s="29">
        <v>71.03</v>
      </c>
      <c r="C25" s="30">
        <v>8.4700000000000006</v>
      </c>
      <c r="D25" s="26">
        <f t="shared" si="0"/>
        <v>601.6241</v>
      </c>
      <c r="E25" s="26">
        <f t="shared" si="1"/>
        <v>71.740900000000011</v>
      </c>
      <c r="F25" s="26">
        <f t="shared" si="2"/>
        <v>5045.2609000000002</v>
      </c>
    </row>
    <row r="26" spans="1:6" ht="21" customHeight="1" x14ac:dyDescent="0.2">
      <c r="A26" s="28" t="s">
        <v>675</v>
      </c>
      <c r="B26" s="29">
        <v>79.03</v>
      </c>
      <c r="C26" s="30">
        <v>10.79</v>
      </c>
      <c r="D26" s="26">
        <f t="shared" si="0"/>
        <v>852.7337</v>
      </c>
      <c r="E26" s="26">
        <f t="shared" si="1"/>
        <v>116.42409999999998</v>
      </c>
      <c r="F26" s="26">
        <f t="shared" si="2"/>
        <v>6245.7408999999998</v>
      </c>
    </row>
    <row r="27" spans="1:6" ht="21" customHeight="1" x14ac:dyDescent="0.2">
      <c r="A27" s="28" t="s">
        <v>679</v>
      </c>
      <c r="B27" s="29">
        <v>77.69</v>
      </c>
      <c r="C27" s="30">
        <v>10.44</v>
      </c>
      <c r="D27" s="26">
        <f t="shared" si="0"/>
        <v>811.08359999999993</v>
      </c>
      <c r="E27" s="26">
        <f t="shared" si="1"/>
        <v>108.99359999999999</v>
      </c>
      <c r="F27" s="26">
        <f t="shared" si="2"/>
        <v>6035.7361000000001</v>
      </c>
    </row>
    <row r="28" spans="1:6" ht="21" customHeight="1" x14ac:dyDescent="0.2">
      <c r="A28" s="28" t="s">
        <v>681</v>
      </c>
      <c r="B28" s="29">
        <v>83.75</v>
      </c>
      <c r="C28" s="30">
        <v>11.05</v>
      </c>
      <c r="D28" s="26">
        <f t="shared" si="0"/>
        <v>925.43750000000011</v>
      </c>
      <c r="E28" s="26">
        <f t="shared" si="1"/>
        <v>122.10250000000002</v>
      </c>
      <c r="F28" s="26">
        <f t="shared" si="2"/>
        <v>7014.0625</v>
      </c>
    </row>
    <row r="29" spans="1:6" ht="21" customHeight="1" x14ac:dyDescent="0.2">
      <c r="A29" s="28" t="s">
        <v>685</v>
      </c>
      <c r="B29" s="29">
        <v>78.09</v>
      </c>
      <c r="C29" s="30">
        <v>10.66</v>
      </c>
      <c r="D29" s="26">
        <f t="shared" si="0"/>
        <v>832.43940000000009</v>
      </c>
      <c r="E29" s="26">
        <f t="shared" si="1"/>
        <v>113.6356</v>
      </c>
      <c r="F29" s="26">
        <f t="shared" si="2"/>
        <v>6098.0481000000009</v>
      </c>
    </row>
    <row r="30" spans="1:6" ht="21" customHeight="1" x14ac:dyDescent="0.2">
      <c r="A30" s="28" t="s">
        <v>687</v>
      </c>
      <c r="B30" s="29">
        <v>83.55</v>
      </c>
      <c r="C30" s="30">
        <v>11.9</v>
      </c>
      <c r="D30" s="26">
        <f t="shared" si="0"/>
        <v>994.245</v>
      </c>
      <c r="E30" s="26">
        <f t="shared" si="1"/>
        <v>141.61000000000001</v>
      </c>
      <c r="F30" s="26">
        <f t="shared" si="2"/>
        <v>6980.6025</v>
      </c>
    </row>
    <row r="31" spans="1:6" ht="21" customHeight="1" x14ac:dyDescent="0.2">
      <c r="A31" s="28" t="s">
        <v>691</v>
      </c>
      <c r="B31" s="29">
        <v>83.05</v>
      </c>
      <c r="C31" s="30">
        <v>11.58</v>
      </c>
      <c r="D31" s="26">
        <f t="shared" si="0"/>
        <v>961.71899999999994</v>
      </c>
      <c r="E31" s="26">
        <f t="shared" si="1"/>
        <v>134.09639999999999</v>
      </c>
      <c r="F31" s="26">
        <f t="shared" si="2"/>
        <v>6897.3024999999998</v>
      </c>
    </row>
    <row r="32" spans="1:6" ht="21" customHeight="1" x14ac:dyDescent="0.2">
      <c r="A32" s="28" t="s">
        <v>695</v>
      </c>
      <c r="B32" s="29">
        <v>80.3</v>
      </c>
      <c r="C32" s="30">
        <v>11.47</v>
      </c>
      <c r="D32" s="26">
        <f t="shared" si="0"/>
        <v>921.04100000000005</v>
      </c>
      <c r="E32" s="26">
        <f t="shared" si="1"/>
        <v>131.5609</v>
      </c>
      <c r="F32" s="26">
        <f t="shared" si="2"/>
        <v>6448.0899999999992</v>
      </c>
    </row>
    <row r="33" spans="1:6" ht="21" customHeight="1" x14ac:dyDescent="0.2">
      <c r="A33" s="28" t="s">
        <v>699</v>
      </c>
      <c r="B33" s="29">
        <v>76.03</v>
      </c>
      <c r="C33" s="30">
        <v>9.86</v>
      </c>
      <c r="D33" s="26">
        <f t="shared" si="0"/>
        <v>749.6558</v>
      </c>
      <c r="E33" s="26">
        <f t="shared" si="1"/>
        <v>97.219599999999986</v>
      </c>
      <c r="F33" s="26">
        <f t="shared" si="2"/>
        <v>5780.5609000000004</v>
      </c>
    </row>
    <row r="34" spans="1:6" ht="21" customHeight="1" x14ac:dyDescent="0.2">
      <c r="A34" s="28" t="s">
        <v>702</v>
      </c>
      <c r="B34" s="29">
        <v>75.010000000000005</v>
      </c>
      <c r="C34" s="30">
        <v>9.15</v>
      </c>
      <c r="D34" s="26">
        <f t="shared" si="0"/>
        <v>686.34150000000011</v>
      </c>
      <c r="E34" s="26">
        <f t="shared" si="1"/>
        <v>83.722500000000011</v>
      </c>
      <c r="F34" s="26">
        <f t="shared" si="2"/>
        <v>5626.5001000000011</v>
      </c>
    </row>
    <row r="35" spans="1:6" ht="21" customHeight="1" x14ac:dyDescent="0.2">
      <c r="A35" s="28" t="s">
        <v>707</v>
      </c>
      <c r="B35" s="29">
        <v>72.55</v>
      </c>
      <c r="C35" s="30">
        <v>7.4</v>
      </c>
      <c r="D35" s="26">
        <f t="shared" si="0"/>
        <v>536.87</v>
      </c>
      <c r="E35" s="26">
        <f t="shared" si="1"/>
        <v>54.760000000000005</v>
      </c>
      <c r="F35" s="26">
        <f t="shared" si="2"/>
        <v>5263.5024999999996</v>
      </c>
    </row>
    <row r="36" spans="1:6" ht="21" customHeight="1" x14ac:dyDescent="0.2">
      <c r="A36" s="28" t="s">
        <v>711</v>
      </c>
      <c r="B36" s="29">
        <v>74.52</v>
      </c>
      <c r="C36" s="30">
        <v>7.91</v>
      </c>
      <c r="D36" s="26">
        <f t="shared" si="0"/>
        <v>589.45319999999992</v>
      </c>
      <c r="E36" s="26">
        <f t="shared" si="1"/>
        <v>62.568100000000001</v>
      </c>
      <c r="F36" s="26">
        <f t="shared" si="2"/>
        <v>5553.2303999999995</v>
      </c>
    </row>
    <row r="37" spans="1:6" ht="21" customHeight="1" x14ac:dyDescent="0.2">
      <c r="A37" s="28" t="s">
        <v>715</v>
      </c>
      <c r="B37" s="29">
        <v>70.97</v>
      </c>
      <c r="C37" s="30">
        <v>7.36</v>
      </c>
      <c r="D37" s="26">
        <f t="shared" si="0"/>
        <v>522.33920000000001</v>
      </c>
      <c r="E37" s="26">
        <f t="shared" si="1"/>
        <v>54.169600000000003</v>
      </c>
      <c r="F37" s="26">
        <f t="shared" si="2"/>
        <v>5036.7408999999998</v>
      </c>
    </row>
    <row r="38" spans="1:6" ht="21" customHeight="1" x14ac:dyDescent="0.2">
      <c r="A38" s="28" t="s">
        <v>719</v>
      </c>
      <c r="B38" s="29">
        <v>69.62</v>
      </c>
      <c r="C38" s="30">
        <v>6.87</v>
      </c>
      <c r="D38" s="26">
        <f t="shared" si="0"/>
        <v>478.28940000000006</v>
      </c>
      <c r="E38" s="26">
        <f t="shared" si="1"/>
        <v>47.196899999999999</v>
      </c>
      <c r="F38" s="26">
        <f t="shared" si="2"/>
        <v>4846.9444000000003</v>
      </c>
    </row>
    <row r="39" spans="1:6" ht="21" customHeight="1" x14ac:dyDescent="0.2">
      <c r="A39" s="28" t="s">
        <v>722</v>
      </c>
      <c r="B39" s="29">
        <v>72.48</v>
      </c>
      <c r="C39" s="30">
        <v>7.87</v>
      </c>
      <c r="D39" s="26">
        <f t="shared" si="0"/>
        <v>570.41759999999999</v>
      </c>
      <c r="E39" s="26">
        <f t="shared" si="1"/>
        <v>61.936900000000001</v>
      </c>
      <c r="F39" s="26">
        <f t="shared" si="2"/>
        <v>5253.3504000000003</v>
      </c>
    </row>
    <row r="40" spans="1:6" ht="21" customHeight="1" x14ac:dyDescent="0.2">
      <c r="A40" s="28" t="s">
        <v>726</v>
      </c>
      <c r="B40" s="29">
        <v>75.16</v>
      </c>
      <c r="C40" s="30">
        <v>8.65</v>
      </c>
      <c r="D40" s="26">
        <f t="shared" si="0"/>
        <v>650.13400000000001</v>
      </c>
      <c r="E40" s="26">
        <f t="shared" si="1"/>
        <v>74.822500000000005</v>
      </c>
      <c r="F40" s="26">
        <f t="shared" si="2"/>
        <v>5649.0255999999999</v>
      </c>
    </row>
    <row r="41" spans="1:6" ht="21" customHeight="1" x14ac:dyDescent="0.2">
      <c r="A41" s="28" t="s">
        <v>729</v>
      </c>
      <c r="B41" s="29">
        <v>70.63</v>
      </c>
      <c r="C41" s="30">
        <v>6.9</v>
      </c>
      <c r="D41" s="26">
        <f t="shared" si="0"/>
        <v>487.34699999999998</v>
      </c>
      <c r="E41" s="26">
        <f t="shared" si="1"/>
        <v>47.610000000000007</v>
      </c>
      <c r="F41" s="26">
        <f t="shared" si="2"/>
        <v>4988.5968999999996</v>
      </c>
    </row>
    <row r="42" spans="1:6" ht="21" customHeight="1" x14ac:dyDescent="0.2">
      <c r="A42" s="28" t="s">
        <v>733</v>
      </c>
      <c r="B42" s="29">
        <v>72.099999999999994</v>
      </c>
      <c r="C42" s="30">
        <v>7.83</v>
      </c>
      <c r="D42" s="26">
        <f t="shared" si="0"/>
        <v>564.54300000000001</v>
      </c>
      <c r="E42" s="26">
        <f t="shared" si="1"/>
        <v>61.308900000000001</v>
      </c>
      <c r="F42" s="26">
        <f t="shared" si="2"/>
        <v>5198.4099999999989</v>
      </c>
    </row>
    <row r="43" spans="1:6" ht="21" customHeight="1" x14ac:dyDescent="0.2">
      <c r="A43" s="28" t="s">
        <v>737</v>
      </c>
      <c r="B43" s="29">
        <v>75.959999999999994</v>
      </c>
      <c r="C43" s="30">
        <v>8.17</v>
      </c>
      <c r="D43" s="26">
        <f t="shared" si="0"/>
        <v>620.59319999999991</v>
      </c>
      <c r="E43" s="26">
        <f t="shared" si="1"/>
        <v>66.748899999999992</v>
      </c>
      <c r="F43" s="26">
        <f t="shared" si="2"/>
        <v>5769.9215999999988</v>
      </c>
    </row>
    <row r="44" spans="1:6" ht="21" customHeight="1" x14ac:dyDescent="0.2">
      <c r="A44" s="28" t="s">
        <v>740</v>
      </c>
      <c r="B44" s="29">
        <v>78.16</v>
      </c>
      <c r="C44" s="30">
        <v>9.2899999999999991</v>
      </c>
      <c r="D44" s="26">
        <f t="shared" si="0"/>
        <v>726.10639999999989</v>
      </c>
      <c r="E44" s="26">
        <f t="shared" si="1"/>
        <v>86.304099999999991</v>
      </c>
      <c r="F44" s="26">
        <f t="shared" si="2"/>
        <v>6108.9855999999991</v>
      </c>
    </row>
    <row r="45" spans="1:6" ht="21" customHeight="1" x14ac:dyDescent="0.2">
      <c r="A45" s="28" t="s">
        <v>744</v>
      </c>
      <c r="B45" s="29">
        <v>79.3</v>
      </c>
      <c r="C45" s="30">
        <v>10.01</v>
      </c>
      <c r="D45" s="26">
        <f t="shared" si="0"/>
        <v>793.79300000000001</v>
      </c>
      <c r="E45" s="26">
        <f t="shared" si="1"/>
        <v>100.20009999999999</v>
      </c>
      <c r="F45" s="26">
        <f t="shared" si="2"/>
        <v>6288.49</v>
      </c>
    </row>
    <row r="46" spans="1:6" ht="21" customHeight="1" x14ac:dyDescent="0.2">
      <c r="A46" s="28" t="s">
        <v>748</v>
      </c>
      <c r="B46" s="29">
        <v>72.540000000000006</v>
      </c>
      <c r="C46" s="30">
        <v>7.68</v>
      </c>
      <c r="D46" s="26">
        <f t="shared" si="0"/>
        <v>557.10720000000003</v>
      </c>
      <c r="E46" s="26">
        <f t="shared" si="1"/>
        <v>58.982399999999998</v>
      </c>
      <c r="F46" s="26">
        <f t="shared" si="2"/>
        <v>5262.0516000000007</v>
      </c>
    </row>
    <row r="47" spans="1:6" ht="21" customHeight="1" x14ac:dyDescent="0.2">
      <c r="A47" s="28" t="s">
        <v>752</v>
      </c>
      <c r="B47" s="29">
        <v>78.11</v>
      </c>
      <c r="C47" s="30">
        <v>9.26</v>
      </c>
      <c r="D47" s="26">
        <f t="shared" si="0"/>
        <v>723.29859999999996</v>
      </c>
      <c r="E47" s="26">
        <f t="shared" si="1"/>
        <v>85.747599999999991</v>
      </c>
      <c r="F47" s="26">
        <f t="shared" si="2"/>
        <v>6101.1720999999998</v>
      </c>
    </row>
    <row r="48" spans="1:6" ht="21" customHeight="1" x14ac:dyDescent="0.2">
      <c r="A48" s="28" t="s">
        <v>756</v>
      </c>
      <c r="B48" s="29">
        <v>75.53</v>
      </c>
      <c r="C48" s="30">
        <v>7.88</v>
      </c>
      <c r="D48" s="26">
        <f t="shared" si="0"/>
        <v>595.17639999999994</v>
      </c>
      <c r="E48" s="26">
        <f t="shared" si="1"/>
        <v>62.0944</v>
      </c>
      <c r="F48" s="26">
        <f t="shared" si="2"/>
        <v>5704.7808999999997</v>
      </c>
    </row>
    <row r="49" spans="1:6" ht="21" customHeight="1" x14ac:dyDescent="0.2">
      <c r="A49" s="28" t="s">
        <v>760</v>
      </c>
      <c r="B49" s="29">
        <v>72.02</v>
      </c>
      <c r="C49" s="30">
        <v>7.29</v>
      </c>
      <c r="D49" s="26">
        <f t="shared" si="0"/>
        <v>525.0258</v>
      </c>
      <c r="E49" s="26">
        <f t="shared" si="1"/>
        <v>53.144100000000002</v>
      </c>
      <c r="F49" s="26">
        <f t="shared" si="2"/>
        <v>5186.8803999999991</v>
      </c>
    </row>
    <row r="50" spans="1:6" ht="21" customHeight="1" x14ac:dyDescent="0.2">
      <c r="A50" s="28" t="s">
        <v>764</v>
      </c>
      <c r="B50" s="29">
        <v>71.42</v>
      </c>
      <c r="C50" s="30">
        <v>7.26</v>
      </c>
      <c r="D50" s="26">
        <f t="shared" si="0"/>
        <v>518.50919999999996</v>
      </c>
      <c r="E50" s="26">
        <f t="shared" si="1"/>
        <v>52.707599999999999</v>
      </c>
      <c r="F50" s="26">
        <f t="shared" si="2"/>
        <v>5100.8164000000006</v>
      </c>
    </row>
    <row r="51" spans="1:6" ht="21" customHeight="1" x14ac:dyDescent="0.2">
      <c r="A51" s="28" t="s">
        <v>768</v>
      </c>
      <c r="B51" s="29">
        <v>72.53</v>
      </c>
      <c r="C51" s="30">
        <v>7.73</v>
      </c>
      <c r="D51" s="26">
        <f t="shared" si="0"/>
        <v>560.65690000000006</v>
      </c>
      <c r="E51" s="26">
        <f t="shared" si="1"/>
        <v>59.752900000000004</v>
      </c>
      <c r="F51" s="26">
        <f t="shared" si="2"/>
        <v>5260.6009000000004</v>
      </c>
    </row>
    <row r="52" spans="1:6" ht="21" customHeight="1" x14ac:dyDescent="0.2">
      <c r="A52" s="28" t="s">
        <v>772</v>
      </c>
      <c r="B52" s="29">
        <v>74.099999999999994</v>
      </c>
      <c r="C52" s="30">
        <v>7.82</v>
      </c>
      <c r="D52" s="26">
        <f t="shared" si="0"/>
        <v>579.46199999999999</v>
      </c>
      <c r="E52" s="26">
        <f t="shared" si="1"/>
        <v>61.152400000000007</v>
      </c>
      <c r="F52" s="26">
        <f t="shared" si="2"/>
        <v>5490.8099999999995</v>
      </c>
    </row>
    <row r="53" spans="1:6" ht="21" customHeight="1" x14ac:dyDescent="0.2">
      <c r="A53" s="28" t="s">
        <v>776</v>
      </c>
      <c r="B53" s="29">
        <v>77.209999999999994</v>
      </c>
      <c r="C53" s="30">
        <v>9.35</v>
      </c>
      <c r="D53" s="26">
        <f t="shared" si="0"/>
        <v>721.91349999999989</v>
      </c>
      <c r="E53" s="26">
        <f t="shared" si="1"/>
        <v>87.422499999999999</v>
      </c>
      <c r="F53" s="26">
        <f t="shared" si="2"/>
        <v>5961.3840999999993</v>
      </c>
    </row>
    <row r="54" spans="1:6" ht="21" customHeight="1" x14ac:dyDescent="0.2">
      <c r="A54" s="28" t="s">
        <v>780</v>
      </c>
      <c r="B54" s="29">
        <v>74.319999999999993</v>
      </c>
      <c r="C54" s="30">
        <v>8.27</v>
      </c>
      <c r="D54" s="26">
        <f t="shared" si="0"/>
        <v>614.62639999999988</v>
      </c>
      <c r="E54" s="26">
        <f t="shared" si="1"/>
        <v>68.392899999999997</v>
      </c>
      <c r="F54" s="26">
        <f t="shared" si="2"/>
        <v>5523.4623999999994</v>
      </c>
    </row>
    <row r="55" spans="1:6" ht="21" customHeight="1" x14ac:dyDescent="0.2">
      <c r="A55" s="28" t="s">
        <v>784</v>
      </c>
      <c r="B55" s="29">
        <v>74.569999999999993</v>
      </c>
      <c r="C55" s="30">
        <v>8.2799999999999994</v>
      </c>
      <c r="D55" s="26">
        <f t="shared" si="0"/>
        <v>617.43959999999993</v>
      </c>
      <c r="E55" s="26">
        <f t="shared" si="1"/>
        <v>68.558399999999992</v>
      </c>
      <c r="F55" s="26">
        <f t="shared" si="2"/>
        <v>5560.6848999999993</v>
      </c>
    </row>
    <row r="56" spans="1:6" ht="21" customHeight="1" x14ac:dyDescent="0.2">
      <c r="A56" s="28" t="s">
        <v>787</v>
      </c>
      <c r="B56" s="29">
        <v>75.67</v>
      </c>
      <c r="C56" s="30">
        <v>8.16</v>
      </c>
      <c r="D56" s="26">
        <f t="shared" si="0"/>
        <v>617.46720000000005</v>
      </c>
      <c r="E56" s="26">
        <f t="shared" si="1"/>
        <v>66.585599999999999</v>
      </c>
      <c r="F56" s="26">
        <f t="shared" si="2"/>
        <v>5725.9489000000003</v>
      </c>
    </row>
    <row r="57" spans="1:6" ht="21" customHeight="1" x14ac:dyDescent="0.2">
      <c r="A57" s="28" t="s">
        <v>791</v>
      </c>
      <c r="B57" s="29">
        <v>71.86</v>
      </c>
      <c r="C57" s="30">
        <v>7.53</v>
      </c>
      <c r="D57" s="26">
        <f t="shared" si="0"/>
        <v>541.10580000000004</v>
      </c>
      <c r="E57" s="26">
        <f t="shared" si="1"/>
        <v>56.700900000000004</v>
      </c>
      <c r="F57" s="26">
        <f t="shared" si="2"/>
        <v>5163.8595999999998</v>
      </c>
    </row>
    <row r="58" spans="1:6" ht="21" customHeight="1" x14ac:dyDescent="0.2">
      <c r="A58" s="28" t="s">
        <v>795</v>
      </c>
      <c r="B58" s="29">
        <v>74.34</v>
      </c>
      <c r="C58" s="30">
        <v>7.74</v>
      </c>
      <c r="D58" s="26">
        <f t="shared" si="0"/>
        <v>575.39160000000004</v>
      </c>
      <c r="E58" s="26">
        <f t="shared" si="1"/>
        <v>59.907600000000002</v>
      </c>
      <c r="F58" s="26">
        <f t="shared" si="2"/>
        <v>5526.4356000000007</v>
      </c>
    </row>
    <row r="59" spans="1:6" ht="21" customHeight="1" x14ac:dyDescent="0.2">
      <c r="A59" s="28" t="s">
        <v>799</v>
      </c>
      <c r="B59" s="29">
        <v>70.73</v>
      </c>
      <c r="C59" s="30">
        <v>7.08</v>
      </c>
      <c r="D59" s="26">
        <f t="shared" si="0"/>
        <v>500.76840000000004</v>
      </c>
      <c r="E59" s="26">
        <f t="shared" si="1"/>
        <v>50.126400000000004</v>
      </c>
      <c r="F59" s="26">
        <f t="shared" si="2"/>
        <v>5002.7329000000009</v>
      </c>
    </row>
    <row r="60" spans="1:6" ht="21" customHeight="1" x14ac:dyDescent="0.2">
      <c r="A60" s="28" t="s">
        <v>803</v>
      </c>
      <c r="B60" s="29">
        <v>71.95</v>
      </c>
      <c r="C60" s="30">
        <v>7.48</v>
      </c>
      <c r="D60" s="26">
        <f t="shared" si="0"/>
        <v>538.18600000000004</v>
      </c>
      <c r="E60" s="26">
        <f t="shared" si="1"/>
        <v>55.950400000000009</v>
      </c>
      <c r="F60" s="26">
        <f t="shared" si="2"/>
        <v>5176.8025000000007</v>
      </c>
    </row>
    <row r="61" spans="1:6" ht="21" customHeight="1" x14ac:dyDescent="0.2">
      <c r="A61" s="28" t="s">
        <v>807</v>
      </c>
      <c r="B61" s="29">
        <v>68.650000000000006</v>
      </c>
      <c r="C61" s="30">
        <v>6.56</v>
      </c>
      <c r="D61" s="26">
        <f t="shared" si="0"/>
        <v>450.34399999999999</v>
      </c>
      <c r="E61" s="26">
        <f t="shared" si="1"/>
        <v>43.033599999999993</v>
      </c>
      <c r="F61" s="26">
        <f t="shared" si="2"/>
        <v>4712.8225000000011</v>
      </c>
    </row>
    <row r="62" spans="1:6" ht="21" customHeight="1" x14ac:dyDescent="0.2">
      <c r="A62" s="28" t="s">
        <v>811</v>
      </c>
      <c r="B62" s="29">
        <v>71.7</v>
      </c>
      <c r="C62" s="30">
        <v>7.36</v>
      </c>
      <c r="D62" s="26">
        <f t="shared" si="0"/>
        <v>527.71199999999999</v>
      </c>
      <c r="E62" s="26">
        <f t="shared" si="1"/>
        <v>54.169600000000003</v>
      </c>
      <c r="F62" s="26">
        <f t="shared" si="2"/>
        <v>5140.8900000000003</v>
      </c>
    </row>
    <row r="63" spans="1:6" ht="21" customHeight="1" x14ac:dyDescent="0.2">
      <c r="A63" s="28" t="s">
        <v>815</v>
      </c>
      <c r="B63" s="29">
        <v>70.180000000000007</v>
      </c>
      <c r="C63" s="30">
        <v>6.41</v>
      </c>
      <c r="D63" s="26">
        <f t="shared" si="0"/>
        <v>449.85380000000004</v>
      </c>
      <c r="E63" s="26">
        <f t="shared" si="1"/>
        <v>41.088100000000004</v>
      </c>
      <c r="F63" s="26">
        <f t="shared" si="2"/>
        <v>4925.2324000000008</v>
      </c>
    </row>
    <row r="64" spans="1:6" ht="21" customHeight="1" x14ac:dyDescent="0.2">
      <c r="A64" s="28" t="s">
        <v>818</v>
      </c>
      <c r="B64" s="29">
        <v>82.15</v>
      </c>
      <c r="C64" s="30">
        <v>11.43</v>
      </c>
      <c r="D64" s="26">
        <f t="shared" si="0"/>
        <v>938.97450000000003</v>
      </c>
      <c r="E64" s="26">
        <f t="shared" si="1"/>
        <v>130.64490000000001</v>
      </c>
      <c r="F64" s="26">
        <f t="shared" si="2"/>
        <v>6748.6225000000013</v>
      </c>
    </row>
    <row r="65" spans="1:6" ht="21" customHeight="1" x14ac:dyDescent="0.2">
      <c r="A65" s="28" t="s">
        <v>821</v>
      </c>
      <c r="B65" s="29">
        <v>84.41</v>
      </c>
      <c r="C65" s="30">
        <v>11.25</v>
      </c>
      <c r="D65" s="26">
        <f t="shared" si="0"/>
        <v>949.61249999999995</v>
      </c>
      <c r="E65" s="26">
        <f t="shared" si="1"/>
        <v>126.5625</v>
      </c>
      <c r="F65" s="26">
        <f t="shared" si="2"/>
        <v>7125.0480999999991</v>
      </c>
    </row>
    <row r="66" spans="1:6" ht="21" customHeight="1" x14ac:dyDescent="0.2">
      <c r="A66" s="28" t="s">
        <v>824</v>
      </c>
      <c r="B66" s="29">
        <v>85.72</v>
      </c>
      <c r="C66" s="30">
        <v>11.48</v>
      </c>
      <c r="D66" s="26">
        <f t="shared" si="0"/>
        <v>984.06560000000002</v>
      </c>
      <c r="E66" s="26">
        <f t="shared" si="1"/>
        <v>131.79040000000001</v>
      </c>
      <c r="F66" s="26">
        <f t="shared" si="2"/>
        <v>7347.9183999999996</v>
      </c>
    </row>
    <row r="67" spans="1:6" ht="21" customHeight="1" x14ac:dyDescent="0.2">
      <c r="A67" s="28" t="s">
        <v>827</v>
      </c>
      <c r="B67" s="29">
        <v>85.24</v>
      </c>
      <c r="C67" s="30">
        <v>11.05</v>
      </c>
      <c r="D67" s="26">
        <f t="shared" ref="D67:D120" si="3">B67*C67</f>
        <v>941.90200000000004</v>
      </c>
      <c r="E67" s="26">
        <f t="shared" ref="E67:E120" si="4">C67*C67</f>
        <v>122.10250000000002</v>
      </c>
      <c r="F67" s="26">
        <f t="shared" ref="F67:F120" si="5">B67*B67</f>
        <v>7265.8575999999994</v>
      </c>
    </row>
    <row r="68" spans="1:6" ht="21" customHeight="1" x14ac:dyDescent="0.2">
      <c r="A68" s="28" t="s">
        <v>830</v>
      </c>
      <c r="B68" s="29">
        <v>77.209999999999994</v>
      </c>
      <c r="C68" s="30">
        <v>9.34</v>
      </c>
      <c r="D68" s="26">
        <f t="shared" si="3"/>
        <v>721.14139999999998</v>
      </c>
      <c r="E68" s="26">
        <f t="shared" si="4"/>
        <v>87.235599999999991</v>
      </c>
      <c r="F68" s="26">
        <f t="shared" si="5"/>
        <v>5961.3840999999993</v>
      </c>
    </row>
    <row r="69" spans="1:6" ht="21" customHeight="1" x14ac:dyDescent="0.2">
      <c r="A69" s="28" t="s">
        <v>833</v>
      </c>
      <c r="B69" s="29">
        <v>77.5</v>
      </c>
      <c r="C69" s="30">
        <v>9.2799999999999994</v>
      </c>
      <c r="D69" s="26">
        <f t="shared" si="3"/>
        <v>719.19999999999993</v>
      </c>
      <c r="E69" s="26">
        <f t="shared" si="4"/>
        <v>86.118399999999994</v>
      </c>
      <c r="F69" s="26">
        <f t="shared" si="5"/>
        <v>6006.25</v>
      </c>
    </row>
    <row r="70" spans="1:6" ht="21" customHeight="1" x14ac:dyDescent="0.2">
      <c r="A70" s="28" t="s">
        <v>838</v>
      </c>
      <c r="B70" s="29">
        <v>76.180000000000007</v>
      </c>
      <c r="C70" s="30">
        <v>9.1999999999999993</v>
      </c>
      <c r="D70" s="26">
        <f t="shared" si="3"/>
        <v>700.85599999999999</v>
      </c>
      <c r="E70" s="26">
        <f t="shared" si="4"/>
        <v>84.639999999999986</v>
      </c>
      <c r="F70" s="26">
        <f t="shared" si="5"/>
        <v>5803.3924000000006</v>
      </c>
    </row>
    <row r="71" spans="1:6" ht="21" customHeight="1" x14ac:dyDescent="0.2">
      <c r="A71" s="28" t="s">
        <v>840</v>
      </c>
      <c r="B71" s="29">
        <v>82.05</v>
      </c>
      <c r="C71" s="30">
        <v>9.81</v>
      </c>
      <c r="D71" s="26">
        <f t="shared" si="3"/>
        <v>804.91049999999996</v>
      </c>
      <c r="E71" s="26">
        <f t="shared" si="4"/>
        <v>96.236100000000008</v>
      </c>
      <c r="F71" s="26">
        <f t="shared" si="5"/>
        <v>6732.2024999999994</v>
      </c>
    </row>
    <row r="72" spans="1:6" ht="21" customHeight="1" x14ac:dyDescent="0.2">
      <c r="A72" s="28" t="s">
        <v>843</v>
      </c>
      <c r="B72" s="29">
        <v>72.14</v>
      </c>
      <c r="C72" s="30">
        <v>7.35</v>
      </c>
      <c r="D72" s="26">
        <f t="shared" si="3"/>
        <v>530.22899999999993</v>
      </c>
      <c r="E72" s="26">
        <f t="shared" si="4"/>
        <v>54.022499999999994</v>
      </c>
      <c r="F72" s="26">
        <f t="shared" si="5"/>
        <v>5204.1796000000004</v>
      </c>
    </row>
    <row r="73" spans="1:6" ht="21" customHeight="1" x14ac:dyDescent="0.2">
      <c r="A73" s="28" t="s">
        <v>847</v>
      </c>
      <c r="B73" s="29">
        <v>85.71</v>
      </c>
      <c r="C73" s="30">
        <v>11.33</v>
      </c>
      <c r="D73" s="26">
        <f t="shared" si="3"/>
        <v>971.09429999999998</v>
      </c>
      <c r="E73" s="26">
        <f t="shared" si="4"/>
        <v>128.3689</v>
      </c>
      <c r="F73" s="26">
        <f t="shared" si="5"/>
        <v>7346.204099999999</v>
      </c>
    </row>
    <row r="74" spans="1:6" ht="21" customHeight="1" x14ac:dyDescent="0.2">
      <c r="A74" s="28" t="s">
        <v>851</v>
      </c>
      <c r="B74" s="29">
        <v>89.1</v>
      </c>
      <c r="C74" s="30">
        <v>12.12</v>
      </c>
      <c r="D74" s="26">
        <f t="shared" si="3"/>
        <v>1079.8919999999998</v>
      </c>
      <c r="E74" s="26">
        <f t="shared" si="4"/>
        <v>146.89439999999999</v>
      </c>
      <c r="F74" s="26">
        <f t="shared" si="5"/>
        <v>7938.8099999999986</v>
      </c>
    </row>
    <row r="75" spans="1:6" ht="21" customHeight="1" x14ac:dyDescent="0.2">
      <c r="A75" s="28" t="s">
        <v>856</v>
      </c>
      <c r="B75" s="29">
        <v>71.489999999999995</v>
      </c>
      <c r="C75" s="30">
        <v>7.9</v>
      </c>
      <c r="D75" s="26">
        <f t="shared" si="3"/>
        <v>564.77099999999996</v>
      </c>
      <c r="E75" s="26">
        <f t="shared" si="4"/>
        <v>62.410000000000004</v>
      </c>
      <c r="F75" s="26">
        <f t="shared" si="5"/>
        <v>5110.820099999999</v>
      </c>
    </row>
    <row r="76" spans="1:6" ht="21" customHeight="1" x14ac:dyDescent="0.2">
      <c r="A76" s="28" t="s">
        <v>860</v>
      </c>
      <c r="B76" s="29">
        <v>73.7</v>
      </c>
      <c r="C76" s="30">
        <v>7.8</v>
      </c>
      <c r="D76" s="26">
        <f t="shared" si="3"/>
        <v>574.86</v>
      </c>
      <c r="E76" s="26">
        <f t="shared" si="4"/>
        <v>60.839999999999996</v>
      </c>
      <c r="F76" s="26">
        <f t="shared" si="5"/>
        <v>5431.6900000000005</v>
      </c>
    </row>
    <row r="77" spans="1:6" ht="21" customHeight="1" x14ac:dyDescent="0.2">
      <c r="A77" s="28" t="s">
        <v>864</v>
      </c>
      <c r="B77" s="29">
        <v>72.47</v>
      </c>
      <c r="C77" s="30">
        <v>7.92</v>
      </c>
      <c r="D77" s="26">
        <f t="shared" si="3"/>
        <v>573.9624</v>
      </c>
      <c r="E77" s="26">
        <f t="shared" si="4"/>
        <v>62.726399999999998</v>
      </c>
      <c r="F77" s="26">
        <f t="shared" si="5"/>
        <v>5251.9008999999996</v>
      </c>
    </row>
    <row r="78" spans="1:6" ht="21" customHeight="1" x14ac:dyDescent="0.2">
      <c r="A78" s="28" t="s">
        <v>868</v>
      </c>
      <c r="B78" s="29">
        <v>75.13</v>
      </c>
      <c r="C78" s="30">
        <v>8.68</v>
      </c>
      <c r="D78" s="26">
        <f t="shared" si="3"/>
        <v>652.12839999999994</v>
      </c>
      <c r="E78" s="26">
        <f t="shared" si="4"/>
        <v>75.342399999999998</v>
      </c>
      <c r="F78" s="26">
        <f t="shared" si="5"/>
        <v>5644.5168999999996</v>
      </c>
    </row>
    <row r="79" spans="1:6" ht="21" customHeight="1" x14ac:dyDescent="0.2">
      <c r="A79" s="28" t="s">
        <v>871</v>
      </c>
      <c r="B79" s="29">
        <v>73.44</v>
      </c>
      <c r="C79" s="30">
        <v>7.87</v>
      </c>
      <c r="D79" s="26">
        <f t="shared" si="3"/>
        <v>577.97280000000001</v>
      </c>
      <c r="E79" s="26">
        <f t="shared" si="4"/>
        <v>61.936900000000001</v>
      </c>
      <c r="F79" s="26">
        <f t="shared" si="5"/>
        <v>5393.4335999999994</v>
      </c>
    </row>
    <row r="80" spans="1:6" ht="21" customHeight="1" x14ac:dyDescent="0.2">
      <c r="A80" s="28" t="s">
        <v>875</v>
      </c>
      <c r="B80" s="29">
        <v>75.180000000000007</v>
      </c>
      <c r="C80" s="30">
        <v>8.26</v>
      </c>
      <c r="D80" s="26">
        <f t="shared" si="3"/>
        <v>620.98680000000002</v>
      </c>
      <c r="E80" s="26">
        <f t="shared" si="4"/>
        <v>68.227599999999995</v>
      </c>
      <c r="F80" s="26">
        <f t="shared" si="5"/>
        <v>5652.032400000001</v>
      </c>
    </row>
    <row r="81" spans="1:6" ht="21" customHeight="1" x14ac:dyDescent="0.2">
      <c r="A81" s="28" t="s">
        <v>878</v>
      </c>
      <c r="B81" s="29">
        <v>73.53</v>
      </c>
      <c r="C81" s="30">
        <v>7.8</v>
      </c>
      <c r="D81" s="26">
        <f t="shared" si="3"/>
        <v>573.53399999999999</v>
      </c>
      <c r="E81" s="26">
        <f t="shared" si="4"/>
        <v>60.839999999999996</v>
      </c>
      <c r="F81" s="26">
        <f t="shared" si="5"/>
        <v>5406.6608999999999</v>
      </c>
    </row>
    <row r="82" spans="1:6" ht="21" customHeight="1" x14ac:dyDescent="0.2">
      <c r="A82" s="28" t="s">
        <v>882</v>
      </c>
      <c r="B82" s="29">
        <v>70.31</v>
      </c>
      <c r="C82" s="30">
        <v>7.27</v>
      </c>
      <c r="D82" s="26">
        <f t="shared" si="3"/>
        <v>511.15370000000001</v>
      </c>
      <c r="E82" s="26">
        <f t="shared" si="4"/>
        <v>52.852899999999991</v>
      </c>
      <c r="F82" s="26">
        <f t="shared" si="5"/>
        <v>4943.4961000000003</v>
      </c>
    </row>
    <row r="83" spans="1:6" ht="21" customHeight="1" x14ac:dyDescent="0.2">
      <c r="A83" s="28" t="s">
        <v>885</v>
      </c>
      <c r="B83" s="29">
        <v>70.930000000000007</v>
      </c>
      <c r="C83" s="30">
        <v>6.54</v>
      </c>
      <c r="D83" s="26">
        <f t="shared" si="3"/>
        <v>463.88220000000007</v>
      </c>
      <c r="E83" s="26">
        <f t="shared" si="4"/>
        <v>42.771599999999999</v>
      </c>
      <c r="F83" s="26">
        <f t="shared" si="5"/>
        <v>5031.0649000000012</v>
      </c>
    </row>
    <row r="84" spans="1:6" ht="21" customHeight="1" x14ac:dyDescent="0.2">
      <c r="A84" s="28" t="s">
        <v>887</v>
      </c>
      <c r="B84" s="29">
        <v>74.3</v>
      </c>
      <c r="C84" s="30">
        <v>7.78</v>
      </c>
      <c r="D84" s="26">
        <f t="shared" si="3"/>
        <v>578.05399999999997</v>
      </c>
      <c r="E84" s="26">
        <f t="shared" si="4"/>
        <v>60.528400000000005</v>
      </c>
      <c r="F84" s="26">
        <f t="shared" si="5"/>
        <v>5520.49</v>
      </c>
    </row>
    <row r="85" spans="1:6" ht="21" customHeight="1" x14ac:dyDescent="0.2">
      <c r="A85" s="28" t="s">
        <v>891</v>
      </c>
      <c r="B85" s="29">
        <v>71.22</v>
      </c>
      <c r="C85" s="30">
        <v>6.53</v>
      </c>
      <c r="D85" s="26">
        <f t="shared" si="3"/>
        <v>465.06659999999999</v>
      </c>
      <c r="E85" s="26">
        <f t="shared" si="4"/>
        <v>42.640900000000002</v>
      </c>
      <c r="F85" s="26">
        <f t="shared" si="5"/>
        <v>5072.2883999999995</v>
      </c>
    </row>
    <row r="86" spans="1:6" ht="21" customHeight="1" x14ac:dyDescent="0.2">
      <c r="A86" s="28" t="s">
        <v>895</v>
      </c>
      <c r="B86" s="29">
        <v>71.22</v>
      </c>
      <c r="C86" s="30">
        <v>6.93</v>
      </c>
      <c r="D86" s="26">
        <f t="shared" si="3"/>
        <v>493.55459999999999</v>
      </c>
      <c r="E86" s="26">
        <f t="shared" si="4"/>
        <v>48.024899999999995</v>
      </c>
      <c r="F86" s="26">
        <f t="shared" si="5"/>
        <v>5072.2883999999995</v>
      </c>
    </row>
    <row r="87" spans="1:6" ht="21" customHeight="1" x14ac:dyDescent="0.2">
      <c r="A87" s="28" t="s">
        <v>898</v>
      </c>
      <c r="B87" s="29">
        <v>70.849999999999994</v>
      </c>
      <c r="C87" s="30">
        <v>6.31</v>
      </c>
      <c r="D87" s="26">
        <f t="shared" si="3"/>
        <v>447.06349999999992</v>
      </c>
      <c r="E87" s="26">
        <f t="shared" si="4"/>
        <v>39.816099999999992</v>
      </c>
      <c r="F87" s="26">
        <f t="shared" si="5"/>
        <v>5019.7224999999989</v>
      </c>
    </row>
    <row r="88" spans="1:6" ht="21" customHeight="1" x14ac:dyDescent="0.2">
      <c r="A88" s="28" t="s">
        <v>901</v>
      </c>
      <c r="B88" s="29">
        <v>72.36</v>
      </c>
      <c r="C88" s="30">
        <v>7.46</v>
      </c>
      <c r="D88" s="26">
        <f t="shared" si="3"/>
        <v>539.80560000000003</v>
      </c>
      <c r="E88" s="26">
        <f t="shared" si="4"/>
        <v>55.651600000000002</v>
      </c>
      <c r="F88" s="26">
        <f t="shared" si="5"/>
        <v>5235.9696000000004</v>
      </c>
    </row>
    <row r="89" spans="1:6" ht="21" customHeight="1" x14ac:dyDescent="0.2">
      <c r="A89" s="28" t="s">
        <v>903</v>
      </c>
      <c r="B89" s="29">
        <v>82.67</v>
      </c>
      <c r="C89" s="30">
        <v>10.91</v>
      </c>
      <c r="D89" s="26">
        <f t="shared" si="3"/>
        <v>901.92970000000003</v>
      </c>
      <c r="E89" s="26">
        <f t="shared" si="4"/>
        <v>119.02810000000001</v>
      </c>
      <c r="F89" s="26">
        <f t="shared" si="5"/>
        <v>6834.3289000000004</v>
      </c>
    </row>
    <row r="90" spans="1:6" ht="21" customHeight="1" x14ac:dyDescent="0.2">
      <c r="A90" s="28" t="s">
        <v>907</v>
      </c>
      <c r="B90" s="29">
        <v>76.69</v>
      </c>
      <c r="C90" s="30">
        <v>9.1300000000000008</v>
      </c>
      <c r="D90" s="26">
        <f t="shared" si="3"/>
        <v>700.17970000000003</v>
      </c>
      <c r="E90" s="26">
        <f t="shared" si="4"/>
        <v>83.35690000000001</v>
      </c>
      <c r="F90" s="26">
        <f t="shared" si="5"/>
        <v>5881.3561</v>
      </c>
    </row>
    <row r="91" spans="1:6" ht="21" customHeight="1" x14ac:dyDescent="0.2">
      <c r="A91" s="28" t="s">
        <v>911</v>
      </c>
      <c r="B91" s="29">
        <v>75.67</v>
      </c>
      <c r="C91" s="30">
        <v>8.7799999999999994</v>
      </c>
      <c r="D91" s="26">
        <f t="shared" si="3"/>
        <v>664.38259999999991</v>
      </c>
      <c r="E91" s="26">
        <f t="shared" si="4"/>
        <v>77.088399999999993</v>
      </c>
      <c r="F91" s="26">
        <f t="shared" si="5"/>
        <v>5725.9489000000003</v>
      </c>
    </row>
    <row r="92" spans="1:6" ht="21" customHeight="1" x14ac:dyDescent="0.2">
      <c r="A92" s="28" t="s">
        <v>914</v>
      </c>
      <c r="B92" s="29">
        <v>75.239999999999995</v>
      </c>
      <c r="C92" s="30">
        <v>8.25</v>
      </c>
      <c r="D92" s="26">
        <f t="shared" si="3"/>
        <v>620.7299999999999</v>
      </c>
      <c r="E92" s="26">
        <f t="shared" si="4"/>
        <v>68.0625</v>
      </c>
      <c r="F92" s="26">
        <f t="shared" si="5"/>
        <v>5661.0575999999992</v>
      </c>
    </row>
    <row r="93" spans="1:6" ht="21" customHeight="1" x14ac:dyDescent="0.2">
      <c r="A93" s="28" t="s">
        <v>918</v>
      </c>
      <c r="B93" s="29">
        <v>74.81</v>
      </c>
      <c r="C93" s="30">
        <v>8.1999999999999993</v>
      </c>
      <c r="D93" s="26">
        <f t="shared" si="3"/>
        <v>613.44200000000001</v>
      </c>
      <c r="E93" s="26">
        <f t="shared" si="4"/>
        <v>67.239999999999995</v>
      </c>
      <c r="F93" s="26">
        <f t="shared" si="5"/>
        <v>5596.5361000000003</v>
      </c>
    </row>
    <row r="94" spans="1:6" ht="21" customHeight="1" x14ac:dyDescent="0.2">
      <c r="A94" s="28" t="s">
        <v>921</v>
      </c>
      <c r="B94" s="29">
        <v>76.77</v>
      </c>
      <c r="C94" s="30">
        <v>8.69</v>
      </c>
      <c r="D94" s="26">
        <f t="shared" si="3"/>
        <v>667.1312999999999</v>
      </c>
      <c r="E94" s="26">
        <f t="shared" si="4"/>
        <v>75.516099999999994</v>
      </c>
      <c r="F94" s="26">
        <f t="shared" si="5"/>
        <v>5893.6328999999996</v>
      </c>
    </row>
    <row r="95" spans="1:6" ht="21" customHeight="1" x14ac:dyDescent="0.2">
      <c r="A95" s="28" t="s">
        <v>924</v>
      </c>
      <c r="B95" s="29">
        <v>73.91</v>
      </c>
      <c r="C95" s="30">
        <v>7.84</v>
      </c>
      <c r="D95" s="26">
        <f t="shared" si="3"/>
        <v>579.45439999999996</v>
      </c>
      <c r="E95" s="26">
        <f t="shared" si="4"/>
        <v>61.465599999999995</v>
      </c>
      <c r="F95" s="26">
        <f t="shared" si="5"/>
        <v>5462.6880999999994</v>
      </c>
    </row>
    <row r="96" spans="1:6" ht="21" customHeight="1" x14ac:dyDescent="0.2">
      <c r="A96" s="28" t="s">
        <v>927</v>
      </c>
      <c r="B96" s="29">
        <v>72.75</v>
      </c>
      <c r="C96" s="30">
        <v>7.59</v>
      </c>
      <c r="D96" s="26">
        <f t="shared" si="3"/>
        <v>552.17250000000001</v>
      </c>
      <c r="E96" s="26">
        <f t="shared" si="4"/>
        <v>57.6081</v>
      </c>
      <c r="F96" s="26">
        <f t="shared" si="5"/>
        <v>5292.5625</v>
      </c>
    </row>
    <row r="97" spans="1:6" ht="21" customHeight="1" x14ac:dyDescent="0.2">
      <c r="A97" s="28" t="s">
        <v>931</v>
      </c>
      <c r="B97" s="29">
        <v>72.31</v>
      </c>
      <c r="C97" s="30">
        <v>7.53</v>
      </c>
      <c r="D97" s="26">
        <f t="shared" si="3"/>
        <v>544.49430000000007</v>
      </c>
      <c r="E97" s="26">
        <f t="shared" si="4"/>
        <v>56.700900000000004</v>
      </c>
      <c r="F97" s="26">
        <f t="shared" si="5"/>
        <v>5228.7361000000001</v>
      </c>
    </row>
    <row r="98" spans="1:6" ht="21" customHeight="1" x14ac:dyDescent="0.2">
      <c r="A98" s="28" t="s">
        <v>935</v>
      </c>
      <c r="B98" s="29">
        <v>75.900000000000006</v>
      </c>
      <c r="C98" s="30">
        <v>8.48</v>
      </c>
      <c r="D98" s="26">
        <f t="shared" si="3"/>
        <v>643.63200000000006</v>
      </c>
      <c r="E98" s="26">
        <f t="shared" si="4"/>
        <v>71.91040000000001</v>
      </c>
      <c r="F98" s="26">
        <f t="shared" si="5"/>
        <v>5760.8100000000013</v>
      </c>
    </row>
    <row r="99" spans="1:6" ht="21" customHeight="1" x14ac:dyDescent="0.2">
      <c r="A99" s="28" t="s">
        <v>939</v>
      </c>
      <c r="B99" s="29">
        <v>78.930000000000007</v>
      </c>
      <c r="C99" s="30">
        <v>10.029999999999999</v>
      </c>
      <c r="D99" s="26">
        <f t="shared" si="3"/>
        <v>791.66790000000003</v>
      </c>
      <c r="E99" s="26">
        <f t="shared" si="4"/>
        <v>100.60089999999998</v>
      </c>
      <c r="F99" s="26">
        <f t="shared" si="5"/>
        <v>6229.9449000000013</v>
      </c>
    </row>
    <row r="100" spans="1:6" ht="21" customHeight="1" x14ac:dyDescent="0.2">
      <c r="A100" s="28" t="s">
        <v>943</v>
      </c>
      <c r="B100" s="29">
        <v>67.33</v>
      </c>
      <c r="C100" s="30">
        <v>6.01</v>
      </c>
      <c r="D100" s="26">
        <f t="shared" si="3"/>
        <v>404.6533</v>
      </c>
      <c r="E100" s="26">
        <f t="shared" si="4"/>
        <v>36.120100000000001</v>
      </c>
      <c r="F100" s="26">
        <f t="shared" si="5"/>
        <v>4533.3288999999995</v>
      </c>
    </row>
    <row r="101" spans="1:6" ht="21" customHeight="1" x14ac:dyDescent="0.2">
      <c r="A101" s="28" t="s">
        <v>946</v>
      </c>
      <c r="B101" s="29">
        <v>66.72</v>
      </c>
      <c r="C101" s="30">
        <v>5.08</v>
      </c>
      <c r="D101" s="26">
        <f t="shared" si="3"/>
        <v>338.93759999999997</v>
      </c>
      <c r="E101" s="26">
        <f t="shared" si="4"/>
        <v>25.8064</v>
      </c>
      <c r="F101" s="26">
        <f t="shared" si="5"/>
        <v>4451.5583999999999</v>
      </c>
    </row>
    <row r="102" spans="1:6" ht="21" customHeight="1" x14ac:dyDescent="0.2">
      <c r="A102" s="28" t="s">
        <v>949</v>
      </c>
      <c r="B102" s="29">
        <v>70.849999999999994</v>
      </c>
      <c r="C102" s="30">
        <v>7.17</v>
      </c>
      <c r="D102" s="26">
        <f t="shared" si="3"/>
        <v>507.99449999999996</v>
      </c>
      <c r="E102" s="26">
        <f t="shared" si="4"/>
        <v>51.408899999999996</v>
      </c>
      <c r="F102" s="26">
        <f t="shared" si="5"/>
        <v>5019.7224999999989</v>
      </c>
    </row>
    <row r="103" spans="1:6" ht="21" customHeight="1" x14ac:dyDescent="0.2">
      <c r="A103" s="28" t="s">
        <v>952</v>
      </c>
      <c r="B103" s="29">
        <v>69.78</v>
      </c>
      <c r="C103" s="30">
        <v>6.1</v>
      </c>
      <c r="D103" s="26">
        <f t="shared" si="3"/>
        <v>425.65799999999996</v>
      </c>
      <c r="E103" s="26">
        <f t="shared" si="4"/>
        <v>37.209999999999994</v>
      </c>
      <c r="F103" s="26">
        <f t="shared" si="5"/>
        <v>4869.2484000000004</v>
      </c>
    </row>
    <row r="104" spans="1:6" ht="21" customHeight="1" x14ac:dyDescent="0.2">
      <c r="A104" s="28" t="s">
        <v>956</v>
      </c>
      <c r="B104" s="29">
        <v>81.88</v>
      </c>
      <c r="C104" s="30">
        <v>10.92</v>
      </c>
      <c r="D104" s="26">
        <f t="shared" si="3"/>
        <v>894.12959999999998</v>
      </c>
      <c r="E104" s="26">
        <f t="shared" si="4"/>
        <v>119.24639999999999</v>
      </c>
      <c r="F104" s="26">
        <f t="shared" si="5"/>
        <v>6704.3343999999988</v>
      </c>
    </row>
    <row r="105" spans="1:6" ht="21" customHeight="1" x14ac:dyDescent="0.2">
      <c r="A105" s="28" t="s">
        <v>960</v>
      </c>
      <c r="B105" s="29">
        <v>81.44</v>
      </c>
      <c r="C105" s="30">
        <v>10.82</v>
      </c>
      <c r="D105" s="26">
        <f t="shared" si="3"/>
        <v>881.18079999999998</v>
      </c>
      <c r="E105" s="26">
        <f t="shared" si="4"/>
        <v>117.0724</v>
      </c>
      <c r="F105" s="26">
        <f t="shared" si="5"/>
        <v>6632.4735999999994</v>
      </c>
    </row>
    <row r="106" spans="1:6" ht="21" customHeight="1" x14ac:dyDescent="0.2">
      <c r="A106" s="28" t="s">
        <v>964</v>
      </c>
      <c r="B106" s="29">
        <v>84.68</v>
      </c>
      <c r="C106" s="30">
        <v>11.14</v>
      </c>
      <c r="D106" s="26">
        <f t="shared" si="3"/>
        <v>943.3352000000001</v>
      </c>
      <c r="E106" s="26">
        <f t="shared" si="4"/>
        <v>124.09960000000001</v>
      </c>
      <c r="F106" s="26">
        <f t="shared" si="5"/>
        <v>7170.702400000001</v>
      </c>
    </row>
    <row r="107" spans="1:6" ht="21" customHeight="1" x14ac:dyDescent="0.2">
      <c r="A107" s="28" t="s">
        <v>968</v>
      </c>
      <c r="B107" s="29">
        <v>77.790000000000006</v>
      </c>
      <c r="C107" s="30">
        <v>9.7200000000000006</v>
      </c>
      <c r="D107" s="26">
        <f t="shared" si="3"/>
        <v>756.11880000000008</v>
      </c>
      <c r="E107" s="26">
        <f t="shared" si="4"/>
        <v>94.478400000000008</v>
      </c>
      <c r="F107" s="26">
        <f t="shared" si="5"/>
        <v>6051.2841000000008</v>
      </c>
    </row>
    <row r="108" spans="1:6" ht="21" customHeight="1" x14ac:dyDescent="0.2">
      <c r="A108" s="28" t="s">
        <v>971</v>
      </c>
      <c r="B108" s="29">
        <v>78.900000000000006</v>
      </c>
      <c r="C108" s="30">
        <v>9.94</v>
      </c>
      <c r="D108" s="26">
        <f t="shared" si="3"/>
        <v>784.26599999999996</v>
      </c>
      <c r="E108" s="26">
        <f t="shared" si="4"/>
        <v>98.803599999999989</v>
      </c>
      <c r="F108" s="26">
        <f t="shared" si="5"/>
        <v>6225.2100000000009</v>
      </c>
    </row>
    <row r="109" spans="1:6" ht="21" customHeight="1" x14ac:dyDescent="0.2">
      <c r="A109" s="28" t="s">
        <v>973</v>
      </c>
      <c r="B109" s="29">
        <v>81.760000000000005</v>
      </c>
      <c r="C109" s="30">
        <v>11.38</v>
      </c>
      <c r="D109" s="26">
        <f t="shared" si="3"/>
        <v>930.42880000000014</v>
      </c>
      <c r="E109" s="26">
        <f t="shared" si="4"/>
        <v>129.5044</v>
      </c>
      <c r="F109" s="26">
        <f t="shared" si="5"/>
        <v>6684.6976000000004</v>
      </c>
    </row>
    <row r="110" spans="1:6" ht="21" customHeight="1" x14ac:dyDescent="0.2">
      <c r="A110" s="28" t="s">
        <v>977</v>
      </c>
      <c r="B110" s="29">
        <v>84.51</v>
      </c>
      <c r="C110" s="30">
        <v>12.11</v>
      </c>
      <c r="D110" s="26">
        <f t="shared" si="3"/>
        <v>1023.4161</v>
      </c>
      <c r="E110" s="26">
        <f t="shared" si="4"/>
        <v>146.65209999999999</v>
      </c>
      <c r="F110" s="26">
        <f t="shared" si="5"/>
        <v>7141.9401000000007</v>
      </c>
    </row>
    <row r="111" spans="1:6" ht="21" customHeight="1" x14ac:dyDescent="0.2">
      <c r="A111" s="28" t="s">
        <v>980</v>
      </c>
      <c r="B111" s="29">
        <v>84.69</v>
      </c>
      <c r="C111" s="30">
        <v>10.89</v>
      </c>
      <c r="D111" s="26">
        <f t="shared" si="3"/>
        <v>922.27409999999998</v>
      </c>
      <c r="E111" s="26">
        <f t="shared" si="4"/>
        <v>118.59210000000002</v>
      </c>
      <c r="F111" s="26">
        <f t="shared" si="5"/>
        <v>7172.3960999999999</v>
      </c>
    </row>
    <row r="112" spans="1:6" ht="21" customHeight="1" x14ac:dyDescent="0.2">
      <c r="A112" s="28" t="s">
        <v>984</v>
      </c>
      <c r="B112" s="29">
        <v>79.69</v>
      </c>
      <c r="C112" s="30">
        <v>9.8699999999999992</v>
      </c>
      <c r="D112" s="26">
        <f t="shared" si="3"/>
        <v>786.54029999999989</v>
      </c>
      <c r="E112" s="26">
        <f t="shared" si="4"/>
        <v>97.416899999999984</v>
      </c>
      <c r="F112" s="26">
        <f t="shared" si="5"/>
        <v>6350.4960999999994</v>
      </c>
    </row>
    <row r="113" spans="1:6" ht="21" customHeight="1" x14ac:dyDescent="0.2">
      <c r="A113" s="28" t="s">
        <v>988</v>
      </c>
      <c r="B113" s="29">
        <v>70.88</v>
      </c>
      <c r="C113" s="30">
        <v>7.16</v>
      </c>
      <c r="D113" s="26">
        <f t="shared" si="3"/>
        <v>507.50079999999997</v>
      </c>
      <c r="E113" s="26">
        <f t="shared" si="4"/>
        <v>51.265599999999999</v>
      </c>
      <c r="F113" s="26">
        <f t="shared" si="5"/>
        <v>5023.9743999999992</v>
      </c>
    </row>
    <row r="114" spans="1:6" ht="21" customHeight="1" x14ac:dyDescent="0.2">
      <c r="A114" s="28" t="s">
        <v>990</v>
      </c>
      <c r="B114" s="29">
        <v>68.33</v>
      </c>
      <c r="C114" s="30">
        <v>6.61</v>
      </c>
      <c r="D114" s="26">
        <f t="shared" si="3"/>
        <v>451.66129999999998</v>
      </c>
      <c r="E114" s="26">
        <f t="shared" si="4"/>
        <v>43.692100000000003</v>
      </c>
      <c r="F114" s="26">
        <f t="shared" si="5"/>
        <v>4668.9888999999994</v>
      </c>
    </row>
    <row r="115" spans="1:6" ht="21" customHeight="1" x14ac:dyDescent="0.2">
      <c r="A115" s="28" t="s">
        <v>994</v>
      </c>
      <c r="B115" s="29">
        <v>76.19</v>
      </c>
      <c r="C115" s="30">
        <v>9.06</v>
      </c>
      <c r="D115" s="26">
        <f t="shared" si="3"/>
        <v>690.28139999999996</v>
      </c>
      <c r="E115" s="26">
        <f t="shared" si="4"/>
        <v>82.083600000000004</v>
      </c>
      <c r="F115" s="26">
        <f t="shared" si="5"/>
        <v>5804.9160999999995</v>
      </c>
    </row>
    <row r="116" spans="1:6" ht="21" customHeight="1" x14ac:dyDescent="0.2">
      <c r="A116" s="28" t="s">
        <v>998</v>
      </c>
      <c r="B116" s="29">
        <v>73.28</v>
      </c>
      <c r="C116" s="30">
        <v>7.88</v>
      </c>
      <c r="D116" s="26">
        <f t="shared" si="3"/>
        <v>577.44640000000004</v>
      </c>
      <c r="E116" s="26">
        <f t="shared" si="4"/>
        <v>62.0944</v>
      </c>
      <c r="F116" s="26">
        <f t="shared" si="5"/>
        <v>5369.9584000000004</v>
      </c>
    </row>
    <row r="117" spans="1:6" ht="21" customHeight="1" x14ac:dyDescent="0.2">
      <c r="A117" s="28" t="s">
        <v>1002</v>
      </c>
      <c r="B117" s="29">
        <v>81.53</v>
      </c>
      <c r="C117" s="30">
        <v>11.14</v>
      </c>
      <c r="D117" s="26">
        <f t="shared" si="3"/>
        <v>908.24420000000009</v>
      </c>
      <c r="E117" s="26">
        <f t="shared" si="4"/>
        <v>124.09960000000001</v>
      </c>
      <c r="F117" s="26">
        <f t="shared" si="5"/>
        <v>6647.1409000000003</v>
      </c>
    </row>
    <row r="118" spans="1:6" ht="21" customHeight="1" x14ac:dyDescent="0.2">
      <c r="A118" s="28" t="s">
        <v>1005</v>
      </c>
      <c r="B118" s="29">
        <v>78.83</v>
      </c>
      <c r="C118" s="30">
        <v>10.39</v>
      </c>
      <c r="D118" s="26">
        <f t="shared" si="3"/>
        <v>819.04370000000006</v>
      </c>
      <c r="E118" s="26">
        <f t="shared" si="4"/>
        <v>107.95210000000002</v>
      </c>
      <c r="F118" s="26">
        <f t="shared" si="5"/>
        <v>6214.1688999999997</v>
      </c>
    </row>
    <row r="119" spans="1:6" ht="21" customHeight="1" x14ac:dyDescent="0.2">
      <c r="A119" s="28" t="s">
        <v>1009</v>
      </c>
      <c r="B119" s="29">
        <v>76.900000000000006</v>
      </c>
      <c r="C119" s="30">
        <v>8.93</v>
      </c>
      <c r="D119" s="26">
        <f t="shared" si="3"/>
        <v>686.71699999999998</v>
      </c>
      <c r="E119" s="26">
        <f t="shared" si="4"/>
        <v>79.744900000000001</v>
      </c>
      <c r="F119" s="26">
        <f t="shared" si="5"/>
        <v>5913.6100000000006</v>
      </c>
    </row>
    <row r="120" spans="1:6" ht="21" customHeight="1" x14ac:dyDescent="0.2">
      <c r="A120" s="28" t="s">
        <v>1013</v>
      </c>
      <c r="B120" s="29">
        <v>84.16</v>
      </c>
      <c r="C120" s="30">
        <v>11.86</v>
      </c>
      <c r="D120" s="26">
        <f t="shared" si="3"/>
        <v>998.13759999999991</v>
      </c>
      <c r="E120" s="26">
        <f t="shared" si="4"/>
        <v>140.65959999999998</v>
      </c>
      <c r="F120" s="26">
        <f t="shared" si="5"/>
        <v>7082.9055999999991</v>
      </c>
    </row>
    <row r="122" spans="1:6" ht="21" customHeight="1" x14ac:dyDescent="0.2">
      <c r="B122" s="27">
        <f>SUM(B2:B120)</f>
        <v>9013.7900000000045</v>
      </c>
    </row>
  </sheetData>
  <mergeCells count="1"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 x14ac:dyDescent="0.2"/>
  <sheetData>
    <row r="1" spans="1:60" ht="42.6" customHeight="1" x14ac:dyDescent="0.2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2.75" x14ac:dyDescent="0.2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HANDSON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e r</dc:creator>
  <cp:lastModifiedBy>M. Haikal Tabrani</cp:lastModifiedBy>
  <dcterms:created xsi:type="dcterms:W3CDTF">2026-02-03T07:32:27Z</dcterms:created>
  <dcterms:modified xsi:type="dcterms:W3CDTF">2026-02-03T10:01:42Z</dcterms:modified>
</cp:coreProperties>
</file>